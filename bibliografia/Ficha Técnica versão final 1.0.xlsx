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" sheetId="1" r:id="rId5"/>
    <sheet state="visible" name="Insumos" sheetId="2" r:id="rId6"/>
    <sheet state="visible" name="Preparos" sheetId="3" r:id="rId7"/>
    <sheet state="visible" name="Lanches" sheetId="4" r:id="rId8"/>
    <sheet state="visible" name="Porções" sheetId="5" r:id="rId9"/>
    <sheet state="visible" name="Bebidas" sheetId="6" r:id="rId10"/>
    <sheet state="visible" name="Sobremesas" sheetId="7" r:id="rId11"/>
    <sheet state="visible" name="Combos" sheetId="8" r:id="rId12"/>
    <sheet state="visible" name="COMPARAÇÃO DE PREÇOS" sheetId="9" r:id="rId13"/>
    <sheet state="visible" name="LISTAS" sheetId="10" r:id="rId14"/>
  </sheets>
  <definedNames>
    <definedName name="ListaInsumos">Insumos!$A:$A</definedName>
    <definedName name="Todos_Produtos">LISTAS!$G$2:$G$69</definedName>
    <definedName name="Categorias">LISTAS!$I$2:$I$6</definedName>
    <definedName hidden="1" localSheetId="0" name="_xlnm._FilterDatabase">UNIFICADO!$A$3:$B$79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Diego Bernardi:
é o valor do chop servido no copo (400ml) + perdas
</t>
      </text>
    </comment>
  </commentList>
</comments>
</file>

<file path=xl/sharedStrings.xml><?xml version="1.0" encoding="utf-8"?>
<sst xmlns="http://schemas.openxmlformats.org/spreadsheetml/2006/main" count="1046" uniqueCount="233">
  <si>
    <t>TOCS BURGER — Fichas Técnicas Unificadas</t>
  </si>
  <si>
    <t>Categoria</t>
  </si>
  <si>
    <t>Produto</t>
  </si>
  <si>
    <t>CMV</t>
  </si>
  <si>
    <t>Preço Site</t>
  </si>
  <si>
    <t>Preço Loja</t>
  </si>
  <si>
    <t>Preço iFood</t>
  </si>
  <si>
    <t>CMV Site</t>
  </si>
  <si>
    <t>CMV IFOOD</t>
  </si>
  <si>
    <t>CMV LOJA</t>
  </si>
  <si>
    <t>Lanche</t>
  </si>
  <si>
    <t>Priscilo</t>
  </si>
  <si>
    <t>Porção</t>
  </si>
  <si>
    <t>Batata P</t>
  </si>
  <si>
    <t>Onion Rings P</t>
  </si>
  <si>
    <t>Albieri</t>
  </si>
  <si>
    <t>Onion Rings M</t>
  </si>
  <si>
    <t>Onion Rings G</t>
  </si>
  <si>
    <t>Simples</t>
  </si>
  <si>
    <t>Osvaldão</t>
  </si>
  <si>
    <t>Porção Mista</t>
  </si>
  <si>
    <t>Bebida</t>
  </si>
  <si>
    <t>Água Sem Gás</t>
  </si>
  <si>
    <t>Batata M</t>
  </si>
  <si>
    <t>Nuggets P</t>
  </si>
  <si>
    <t>Sobremesa</t>
  </si>
  <si>
    <t>Churros do And</t>
  </si>
  <si>
    <t>Água Com Gás</t>
  </si>
  <si>
    <t>Duplo</t>
  </si>
  <si>
    <t>Mussarelo</t>
  </si>
  <si>
    <t>Coca Zero 600ml</t>
  </si>
  <si>
    <t>Coca Cola 600ml</t>
  </si>
  <si>
    <t>Cidão</t>
  </si>
  <si>
    <t>Triplo</t>
  </si>
  <si>
    <t>DBS</t>
  </si>
  <si>
    <t>Batata G</t>
  </si>
  <si>
    <t>Guaraná 600ml</t>
  </si>
  <si>
    <t>Beicão</t>
  </si>
  <si>
    <t>Nuggets M</t>
  </si>
  <si>
    <t>Vintão</t>
  </si>
  <si>
    <t>Suco Prats Laranja</t>
  </si>
  <si>
    <t>Batatocs Cheddar + Bacon</t>
  </si>
  <si>
    <t>Batatocs Gorgonzola + Bacon</t>
  </si>
  <si>
    <t>Suco Prats Uva</t>
  </si>
  <si>
    <t>Coca Zero Lata</t>
  </si>
  <si>
    <t>Coca Cola Lata</t>
  </si>
  <si>
    <t>Nuggets G</t>
  </si>
  <si>
    <t>Pepsi Black Lata</t>
  </si>
  <si>
    <t>Guaraná Lata</t>
  </si>
  <si>
    <t>Guaraná Zero Lata</t>
  </si>
  <si>
    <t>Sukita Laranja Lata</t>
  </si>
  <si>
    <t>Coca Zero 2L</t>
  </si>
  <si>
    <t>Coca Cola 2L</t>
  </si>
  <si>
    <t>Cookie Red Velvet Lhamaria</t>
  </si>
  <si>
    <t>Tônica</t>
  </si>
  <si>
    <t>Tônica Zero</t>
  </si>
  <si>
    <t>Galactocs</t>
  </si>
  <si>
    <t>Trident Menta Envelope 8g CX21</t>
  </si>
  <si>
    <t>Coquinha 200ml normal</t>
  </si>
  <si>
    <t>Coquinha 200ml zero</t>
  </si>
  <si>
    <t>Coca KS Zero</t>
  </si>
  <si>
    <t>Coca KS Original</t>
  </si>
  <si>
    <t>Citrus Lata</t>
  </si>
  <si>
    <t>Guaraná Zero 600ml</t>
  </si>
  <si>
    <t>Chopp Brahma</t>
  </si>
  <si>
    <t>Coca Cola 1L</t>
  </si>
  <si>
    <t>Cerveja Original 600ml</t>
  </si>
  <si>
    <t>Churros com Sorvete</t>
  </si>
  <si>
    <t>Churros Especial</t>
  </si>
  <si>
    <t>Brownie com Sorvete</t>
  </si>
  <si>
    <t>Copo de Sorvete</t>
  </si>
  <si>
    <t>Brownie de Chocolate Lhamaria</t>
  </si>
  <si>
    <t>Combo</t>
  </si>
  <si>
    <t>Combo Kids</t>
  </si>
  <si>
    <t>Combão Priscilo</t>
  </si>
  <si>
    <t>Combão Cidão</t>
  </si>
  <si>
    <t>Combão Mussarelo</t>
  </si>
  <si>
    <t>Combão Osvaldão</t>
  </si>
  <si>
    <t>Combão DBS</t>
  </si>
  <si>
    <t>Combo Vintão</t>
  </si>
  <si>
    <t>Combão Beicão</t>
  </si>
  <si>
    <t>Combão Galactos</t>
  </si>
  <si>
    <t>Combão Albieri</t>
  </si>
  <si>
    <t>Adicionais</t>
  </si>
  <si>
    <t>Salada</t>
  </si>
  <si>
    <t>Picles</t>
  </si>
  <si>
    <t>Bacon</t>
  </si>
  <si>
    <t>Onion Rings</t>
  </si>
  <si>
    <t>Creme de Gorgonzola</t>
  </si>
  <si>
    <t>Cheddar</t>
  </si>
  <si>
    <t>Mussarela</t>
  </si>
  <si>
    <t>Cebola Caramelizada</t>
  </si>
  <si>
    <t>Unidade</t>
  </si>
  <si>
    <t>Valor</t>
  </si>
  <si>
    <t>Fator de Conversão</t>
  </si>
  <si>
    <t>Valor Unitário</t>
  </si>
  <si>
    <t>Açucar KG</t>
  </si>
  <si>
    <t>KG</t>
  </si>
  <si>
    <t>Água</t>
  </si>
  <si>
    <t>L</t>
  </si>
  <si>
    <t xml:space="preserve">Alcaparras </t>
  </si>
  <si>
    <t>Alface KG</t>
  </si>
  <si>
    <t>Alho KG</t>
  </si>
  <si>
    <t>Amido de Milho KG</t>
  </si>
  <si>
    <t>Bacon Fatiado KG</t>
  </si>
  <si>
    <t>Batata Congelada KG</t>
  </si>
  <si>
    <t>Caixa de Fritura G</t>
  </si>
  <si>
    <t>UN</t>
  </si>
  <si>
    <t>Caixa de Fritura P</t>
  </si>
  <si>
    <t>Carne Moída KG</t>
  </si>
  <si>
    <t>Cebola Branca KG</t>
  </si>
  <si>
    <t>Cebola Roxa KG</t>
  </si>
  <si>
    <t>Cheddar Creme Bisnaga 1,5kg</t>
  </si>
  <si>
    <t>Cheddar KG</t>
  </si>
  <si>
    <t>Citrato de Sódio KG</t>
  </si>
  <si>
    <t>Creme de Cebola KG</t>
  </si>
  <si>
    <t>Creme de Leite UHT</t>
  </si>
  <si>
    <t>Extrato de Tomate kg</t>
  </si>
  <si>
    <t>Glutamato Monossódico KG</t>
  </si>
  <si>
    <t>Gorgonzola KG</t>
  </si>
  <si>
    <t>Grão de Bico KG</t>
  </si>
  <si>
    <t>Iogurte Integral Natural</t>
  </si>
  <si>
    <t xml:space="preserve">Ketchup Galão </t>
  </si>
  <si>
    <t>Lacre</t>
  </si>
  <si>
    <t>Limão</t>
  </si>
  <si>
    <t>Limão Sciciliano</t>
  </si>
  <si>
    <t>Maionese</t>
  </si>
  <si>
    <t>Molho Tarê</t>
  </si>
  <si>
    <t>Mostarda</t>
  </si>
  <si>
    <t>Mussarela KG</t>
  </si>
  <si>
    <t>Noz Moscada kg</t>
  </si>
  <si>
    <t>Nuggets KG</t>
  </si>
  <si>
    <t>Óleo de Algodão</t>
  </si>
  <si>
    <t>Onion Rings KG</t>
  </si>
  <si>
    <t>Pão Un.</t>
  </si>
  <si>
    <t>Páprica Defumada KG</t>
  </si>
  <si>
    <t>Picles KG</t>
  </si>
  <si>
    <t>Sal KG</t>
  </si>
  <si>
    <t>Salsa KG</t>
  </si>
  <si>
    <t>Tomate KG</t>
  </si>
  <si>
    <t>Cebola Branca Limpa</t>
  </si>
  <si>
    <t xml:space="preserve">Papel Acoplado </t>
  </si>
  <si>
    <t>Barbecue KG</t>
  </si>
  <si>
    <t>Churros Recheados KG</t>
  </si>
  <si>
    <t>Churros Palito KG</t>
  </si>
  <si>
    <t>Sorvete KG</t>
  </si>
  <si>
    <t>Calda de Chocolate KG</t>
  </si>
  <si>
    <t>Brownie Lhamaria</t>
  </si>
  <si>
    <t>Cookie Lhamaria</t>
  </si>
  <si>
    <t>Linguiça</t>
  </si>
  <si>
    <t>Abacaxi KG</t>
  </si>
  <si>
    <t>Disco de frango</t>
  </si>
  <si>
    <t>PREPARADOS</t>
  </si>
  <si>
    <t>Pasta de Cebola Roxa</t>
  </si>
  <si>
    <t>Bacon Frito</t>
  </si>
  <si>
    <t>Mirocley</t>
  </si>
  <si>
    <t>Molho do Frango</t>
  </si>
  <si>
    <t>Bacon Dose</t>
  </si>
  <si>
    <t>Bacon Batatas</t>
  </si>
  <si>
    <t>Mussarela Fatia</t>
  </si>
  <si>
    <t>Cheddar Fatia</t>
  </si>
  <si>
    <t>Batata Frita 100g</t>
  </si>
  <si>
    <t>Onion Ring Un.</t>
  </si>
  <si>
    <t>Nuggets Un.</t>
  </si>
  <si>
    <t>Smash Burger</t>
  </si>
  <si>
    <t>Picles Porção</t>
  </si>
  <si>
    <t>Cebola roxa Porção</t>
  </si>
  <si>
    <t>Alface Porção</t>
  </si>
  <si>
    <t>Tomate Porção</t>
  </si>
  <si>
    <t>Tomate Ralado Porção</t>
  </si>
  <si>
    <t>Dose Mirocley</t>
  </si>
  <si>
    <t>Dose Barbecue</t>
  </si>
  <si>
    <t>Cebola Caramelizada Porção</t>
  </si>
  <si>
    <t>Creme de Gorgonzola Porção</t>
  </si>
  <si>
    <t>Priscilo KG</t>
  </si>
  <si>
    <t>Priscilo UN.</t>
  </si>
  <si>
    <t>Cheddar Creme</t>
  </si>
  <si>
    <t>Abacaxi Porção</t>
  </si>
  <si>
    <t>Smash Linguiça</t>
  </si>
  <si>
    <t>Gramas</t>
  </si>
  <si>
    <t>Amido de milho KG</t>
  </si>
  <si>
    <t>Rendimento</t>
  </si>
  <si>
    <t>Extrato de Tomate KG</t>
  </si>
  <si>
    <t>Adicional Onion Rings</t>
  </si>
  <si>
    <t>Onion P</t>
  </si>
  <si>
    <t>Onion M</t>
  </si>
  <si>
    <t>Onion G</t>
  </si>
  <si>
    <t>Picles kg</t>
  </si>
  <si>
    <t>Unidades</t>
  </si>
  <si>
    <t>Cebola Roxa Porção</t>
  </si>
  <si>
    <t>Sentando no Abacaxi</t>
  </si>
  <si>
    <t>Qtd_Grande</t>
  </si>
  <si>
    <t>Qtd_Unid</t>
  </si>
  <si>
    <t>Vlr_Total</t>
  </si>
  <si>
    <t>Vlr_Médio_Grande</t>
  </si>
  <si>
    <t>Vlr_Médio_Unid</t>
  </si>
  <si>
    <t>Preço de Venda Site</t>
  </si>
  <si>
    <t>Preço de Venda Loja</t>
  </si>
  <si>
    <t>Preço de Venda Ifood</t>
  </si>
  <si>
    <t>x</t>
  </si>
  <si>
    <t>Quantidade</t>
  </si>
  <si>
    <t>Insumos</t>
  </si>
  <si>
    <t>Preparos</t>
  </si>
  <si>
    <t>Lanches</t>
  </si>
  <si>
    <t>Porções</t>
  </si>
  <si>
    <t>Bebidas</t>
  </si>
  <si>
    <t>Sobremesas</t>
  </si>
  <si>
    <t>Combos</t>
  </si>
  <si>
    <t>COMPARAÇÃO DE PREÇOS</t>
  </si>
  <si>
    <t>ITEM</t>
  </si>
  <si>
    <t>PREÇO DE VENDA NO SITE</t>
  </si>
  <si>
    <t>PREÇO DE VENDA IFOOD</t>
  </si>
  <si>
    <t>PREÇO DE VENDA NA LOJA</t>
  </si>
  <si>
    <t>COMBO ALBIERI + DBS</t>
  </si>
  <si>
    <t>OSVALDÃO + SIMPLES</t>
  </si>
  <si>
    <t>GALACTOCS + DUPLO</t>
  </si>
  <si>
    <t>MUSSARELO + GALACTOCS + OSVALDAO</t>
  </si>
  <si>
    <t>NOME DO PRODUTO DO CARDÁPIO</t>
  </si>
  <si>
    <t>CMV + EMBALAGEM</t>
  </si>
  <si>
    <t>CMV SITE</t>
  </si>
  <si>
    <t>PORÇÕES</t>
  </si>
  <si>
    <t>BEBIDAS</t>
  </si>
  <si>
    <t>SOBREMESAS</t>
  </si>
  <si>
    <t>COMBOS</t>
  </si>
  <si>
    <t>ADICIONAIS</t>
  </si>
  <si>
    <t>PROMOÇÕES CONSULTOR DE LUCRO</t>
  </si>
  <si>
    <t>Produtos_Lanches</t>
  </si>
  <si>
    <t>Produtos_Porções</t>
  </si>
  <si>
    <t>Produtos_Bebidas</t>
  </si>
  <si>
    <t>Produtos_Sobremesas</t>
  </si>
  <si>
    <t>Produtos_Combos</t>
  </si>
  <si>
    <t>Todos_Produtos</t>
  </si>
  <si>
    <t>Categorias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</si>
</sst>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_-&quot;R$&quot;\ * #,##0.00_-;\-&quot;R$&quot;\ * #,##0.00_-;_-&quot;R$&quot;\ * &quot;-&quot;??_-;_-@"/>
    <numFmt numFmtId="166" formatCode="0.0%"/>
    <numFmt numFmtId="167" formatCode="0.0"/>
    <numFmt numFmtId="168" formatCode="_-* #,##0_-;\-* #,##0_-;_-* &quot;-&quot;??_-;_-@"/>
  </numFmts>
  <fonts count="1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393838"/>
      <name val="Open Sans"/>
    </font>
    <font>
      <sz val="11.0"/>
      <color rgb="FF00000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11.0"/>
      <color rgb="FF343A40"/>
      <name val="Quattrocento Sans"/>
    </font>
    <font>
      <b/>
      <u/>
      <color rgb="FF1A1A1A"/>
    </font>
    <font>
      <sz val="16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343A4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2C77"/>
        <bgColor rgb="FF002C77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D037"/>
        <bgColor rgb="FFFFD037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4C2F4"/>
        <bgColor rgb="FFA4C2F4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2C77"/>
      </left>
      <right style="medium">
        <color rgb="FF002C77"/>
      </right>
      <top style="medium">
        <color rgb="FF002C77"/>
      </top>
      <bottom style="medium">
        <color rgb="FF002C7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1E46"/>
      </left>
      <right style="thin">
        <color rgb="FF001E46"/>
      </right>
      <top style="thin">
        <color rgb="FF001E46"/>
      </top>
      <bottom style="thin">
        <color rgb="FF001E46"/>
      </bottom>
    </border>
    <border>
      <left style="thin">
        <color rgb="FF001E46"/>
      </left>
      <right style="thin">
        <color rgb="FF001E46"/>
      </right>
      <top style="thin">
        <color rgb="FF001E46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3" fontId="3" numFmtId="0" xfId="0" applyAlignment="1" applyBorder="1" applyFont="1">
      <alignment horizontal="center" readingOrder="0"/>
    </xf>
    <xf borderId="0" fillId="4" fontId="4" numFmtId="0" xfId="0" applyFill="1" applyFont="1"/>
    <xf borderId="0" fillId="4" fontId="4" numFmtId="164" xfId="0" applyFont="1" applyNumberFormat="1"/>
    <xf borderId="0" fillId="4" fontId="4" numFmtId="10" xfId="0" applyFont="1" applyNumberFormat="1"/>
    <xf borderId="0" fillId="5" fontId="4" numFmtId="0" xfId="0" applyFill="1" applyFont="1"/>
    <xf borderId="0" fillId="5" fontId="4" numFmtId="164" xfId="0" applyFont="1" applyNumberFormat="1"/>
    <xf borderId="0" fillId="5" fontId="4" numFmtId="10" xfId="0" applyFont="1" applyNumberFormat="1"/>
    <xf borderId="0" fillId="0" fontId="4" numFmtId="164" xfId="0" applyFont="1" applyNumberForma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0" xfId="0" applyFont="1" applyNumberFormat="1"/>
    <xf borderId="0" fillId="0" fontId="4" numFmtId="0" xfId="0" applyFont="1"/>
    <xf borderId="0" fillId="0" fontId="5" numFmtId="165" xfId="0" applyFont="1" applyNumberFormat="1"/>
    <xf borderId="0" fillId="0" fontId="6" numFmtId="165" xfId="0" applyFont="1" applyNumberFormat="1"/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164" xfId="0" applyFont="1" applyNumberFormat="1"/>
    <xf borderId="0" fillId="0" fontId="5" numFmtId="166" xfId="0" applyFont="1" applyNumberFormat="1"/>
    <xf borderId="0" fillId="0" fontId="5" numFmtId="10" xfId="0" applyFont="1" applyNumberFormat="1"/>
    <xf borderId="0" fillId="0" fontId="5" numFmtId="9" xfId="0" applyFont="1" applyNumberFormat="1"/>
    <xf borderId="0" fillId="0" fontId="5" numFmtId="2" xfId="0" applyFont="1" applyNumberFormat="1"/>
    <xf borderId="0" fillId="0" fontId="5" numFmtId="167" xfId="0" applyFont="1" applyNumberFormat="1"/>
    <xf borderId="0" fillId="0" fontId="4" numFmtId="165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5" fillId="6" fontId="5" numFmtId="0" xfId="0" applyBorder="1" applyFill="1" applyFont="1"/>
    <xf borderId="5" fillId="6" fontId="5" numFmtId="165" xfId="0" applyBorder="1" applyFont="1" applyNumberFormat="1"/>
    <xf borderId="5" fillId="3" fontId="8" numFmtId="165" xfId="0" applyBorder="1" applyFont="1" applyNumberFormat="1"/>
    <xf borderId="5" fillId="6" fontId="5" numFmtId="0" xfId="0" applyAlignment="1" applyBorder="1" applyFont="1">
      <alignment readingOrder="0"/>
    </xf>
    <xf borderId="4" fillId="7" fontId="5" numFmtId="0" xfId="0" applyBorder="1" applyFill="1" applyFont="1"/>
    <xf borderId="4" fillId="3" fontId="8" numFmtId="165" xfId="0" applyBorder="1" applyFont="1" applyNumberFormat="1"/>
    <xf borderId="4" fillId="7" fontId="5" numFmtId="165" xfId="0" applyBorder="1" applyFont="1" applyNumberFormat="1"/>
    <xf borderId="5" fillId="0" fontId="9" numFmtId="0" xfId="0" applyAlignment="1" applyBorder="1" applyFont="1">
      <alignment horizontal="center" vertical="top"/>
    </xf>
    <xf borderId="6" fillId="0" fontId="9" numFmtId="0" xfId="0" applyAlignment="1" applyBorder="1" applyFont="1">
      <alignment horizontal="center" vertical="top"/>
    </xf>
    <xf borderId="5" fillId="0" fontId="5" numFmtId="0" xfId="0" applyBorder="1" applyFont="1"/>
    <xf borderId="5" fillId="3" fontId="5" numFmtId="165" xfId="0" applyBorder="1" applyFont="1" applyNumberFormat="1"/>
    <xf borderId="5" fillId="0" fontId="5" numFmtId="168" xfId="0" applyBorder="1" applyFont="1" applyNumberFormat="1"/>
    <xf borderId="5" fillId="7" fontId="5" numFmtId="165" xfId="0" applyBorder="1" applyFont="1" applyNumberFormat="1"/>
    <xf borderId="5" fillId="0" fontId="10" numFmtId="0" xfId="0" applyBorder="1" applyFont="1"/>
    <xf borderId="5" fillId="3" fontId="5" numFmtId="165" xfId="0" applyAlignment="1" applyBorder="1" applyFont="1" applyNumberFormat="1">
      <alignment readingOrder="0"/>
    </xf>
    <xf borderId="7" fillId="8" fontId="11" numFmtId="0" xfId="0" applyAlignment="1" applyBorder="1" applyFill="1" applyFont="1">
      <alignment horizontal="center"/>
    </xf>
    <xf borderId="5" fillId="5" fontId="5" numFmtId="0" xfId="0" applyBorder="1" applyFont="1"/>
    <xf borderId="5" fillId="5" fontId="5" numFmtId="165" xfId="0" applyBorder="1" applyFont="1" applyNumberFormat="1"/>
    <xf borderId="8" fillId="0" fontId="5" numFmtId="0" xfId="0" applyBorder="1" applyFont="1"/>
    <xf borderId="9" fillId="3" fontId="5" numFmtId="165" xfId="0" applyBorder="1" applyFont="1" applyNumberFormat="1"/>
    <xf borderId="5" fillId="9" fontId="5" numFmtId="165" xfId="0" applyAlignment="1" applyBorder="1" applyFill="1" applyFont="1" applyNumberFormat="1">
      <alignment shrinkToFit="0" wrapText="1"/>
    </xf>
    <xf borderId="5" fillId="10" fontId="5" numFmtId="0" xfId="0" applyAlignment="1" applyBorder="1" applyFill="1" applyFont="1">
      <alignment vertical="bottom"/>
    </xf>
    <xf borderId="5" fillId="11" fontId="5" numFmtId="165" xfId="0" applyAlignment="1" applyBorder="1" applyFill="1" applyFont="1" applyNumberFormat="1">
      <alignment horizontal="right" shrinkToFit="0" vertical="bottom" wrapText="1"/>
    </xf>
    <xf borderId="0" fillId="0" fontId="12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shrinkToFit="0" vertical="center" wrapText="0"/>
    </xf>
    <xf borderId="10" fillId="10" fontId="14" numFmtId="164" xfId="0" applyAlignment="1" applyBorder="1" applyFont="1" applyNumberFormat="1">
      <alignment shrinkToFit="0" vertical="center" wrapText="0"/>
    </xf>
    <xf borderId="10" fillId="10" fontId="14" numFmtId="0" xfId="0" applyAlignment="1" applyBorder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10" fillId="10" fontId="14" numFmtId="0" xfId="0" applyAlignment="1" applyBorder="1" applyFont="1">
      <alignment shrinkToFit="0" vertical="center" wrapText="0"/>
    </xf>
    <xf borderId="10" fillId="10" fontId="14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10" fillId="10" fontId="14" numFmtId="0" xfId="0" applyAlignment="1" applyBorder="1" applyFont="1">
      <alignment readingOrder="0" shrinkToFit="0" vertical="center" wrapText="0"/>
    </xf>
    <xf borderId="10" fillId="10" fontId="14" numFmtId="0" xfId="0" applyAlignment="1" applyBorder="1" applyFont="1">
      <alignment readingOrder="0" shrinkToFit="0" vertical="center" wrapText="0"/>
    </xf>
    <xf borderId="10" fillId="12" fontId="14" numFmtId="0" xfId="0" applyAlignment="1" applyBorder="1" applyFill="1" applyFont="1">
      <alignment shrinkToFit="0" vertical="center" wrapText="0"/>
    </xf>
    <xf borderId="0" fillId="12" fontId="13" numFmtId="164" xfId="0" applyAlignment="1" applyFont="1" applyNumberFormat="1">
      <alignment shrinkToFit="0" vertical="center" wrapText="0"/>
    </xf>
    <xf borderId="10" fillId="12" fontId="14" numFmtId="0" xfId="0" applyAlignment="1" applyBorder="1" applyFont="1">
      <alignment shrinkToFit="0" vertical="center" wrapText="0"/>
    </xf>
    <xf borderId="0" fillId="12" fontId="4" numFmtId="10" xfId="0" applyAlignment="1" applyFont="1" applyNumberFormat="1">
      <alignment shrinkToFit="0" vertical="center" wrapText="0"/>
    </xf>
    <xf borderId="11" fillId="12" fontId="14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12" fillId="12" fontId="13" numFmtId="0" xfId="0" applyAlignment="1" applyBorder="1" applyFont="1">
      <alignment shrinkToFit="0" vertical="center" wrapText="0"/>
    </xf>
    <xf borderId="0" fillId="12" fontId="13" numFmtId="0" xfId="0" applyAlignment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readingOrder="0" shrinkToFit="0" vertical="center" wrapText="0"/>
    </xf>
    <xf borderId="12" fillId="12" fontId="13" numFmtId="0" xfId="0" applyAlignment="1" applyBorder="1" applyFont="1">
      <alignment readingOrder="0" shrinkToFit="0" vertical="center" wrapText="0"/>
    </xf>
    <xf borderId="0" fillId="12" fontId="4" numFmtId="164" xfId="0" applyAlignment="1" applyFont="1" applyNumberFormat="1">
      <alignment shrinkToFit="0" vertical="center" wrapText="0"/>
    </xf>
    <xf borderId="0" fillId="12" fontId="4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12" fontId="4" numFmtId="0" xfId="0" applyAlignment="1" applyFont="1">
      <alignment readingOrder="0" shrinkToFit="0" vertical="center" wrapText="0"/>
    </xf>
    <xf borderId="10" fillId="10" fontId="14" numFmtId="164" xfId="0" applyBorder="1" applyFont="1" applyNumberFormat="1"/>
    <xf borderId="0" fillId="0" fontId="4" numFmtId="0" xfId="0" applyFont="1"/>
    <xf borderId="12" fillId="12" fontId="13" numFmtId="0" xfId="0" applyAlignment="1" applyBorder="1" applyFont="1">
      <alignment readingOrder="0"/>
    </xf>
    <xf borderId="0" fillId="12" fontId="4" numFmtId="164" xfId="0" applyFont="1" applyNumberFormat="1"/>
    <xf borderId="0" fillId="12" fontId="4" numFmtId="0" xfId="0" applyFont="1"/>
    <xf borderId="0" fillId="12" fontId="4" numFmtId="0" xfId="0" applyAlignment="1" applyFont="1">
      <alignment readingOrder="0"/>
    </xf>
    <xf borderId="0" fillId="12" fontId="4" numFmtId="10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UNIFICADO-style">
      <tableStyleElement dxfId="1" type="firstRowStripe"/>
      <tableStyleElement dxfId="2" type="secondRowStripe"/>
    </tableStyle>
    <tableStyle count="4" pivot="0" name="COMPARAÇÃO DE PREÇO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COMPARAÇÃO DE PREÇOS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73:I7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UNIFICADO-style" showColumnStripes="0" showFirstColumn="1" showLastColumn="1" showRowStripes="1"/>
</table>
</file>

<file path=xl/tables/table2.xml><?xml version="1.0" encoding="utf-8"?>
<table xmlns="http://schemas.openxmlformats.org/spreadsheetml/2006/main" ref="A3:H75" displayName="Tabela_1" name="Tabela_1" id="2">
  <tableColumns count="8">
    <tableColumn name="NOME DO PRODUTO DO CARDÁPIO" id="1"/>
    <tableColumn name="CMV + EMBALAGEM" id="2"/>
    <tableColumn name="PREÇO DE VENDA NO SITE" id="3"/>
    <tableColumn name="PREÇO DE VENDA IFOOD" id="4"/>
    <tableColumn name="PREÇO DE VENDA NA LOJA" id="5"/>
    <tableColumn name="CMV SITE" id="6"/>
    <tableColumn name="CMV IFOOD" id="7"/>
    <tableColumn name="CMV LOJA" id="8"/>
  </tableColumns>
  <tableStyleInfo name="COMPARAÇÃO DE PREÇOS-style" showColumnStripes="0" showFirstColumn="1" showLastColumn="1" showRowStripes="1"/>
</table>
</file>

<file path=xl/tables/table3.xml><?xml version="1.0" encoding="utf-8"?>
<table xmlns="http://schemas.openxmlformats.org/spreadsheetml/2006/main" headerRowCount="0" ref="A84:H84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MPARAÇÃO DE PREÇ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9" Type="http://schemas.openxmlformats.org/officeDocument/2006/relationships/drawing" Target="../drawings/drawing9.xm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7" width="20.0"/>
    <col customWidth="1" min="8" max="8" width="24.14"/>
    <col customWidth="1" min="9" max="10" width="17.0"/>
    <col customWidth="1" min="11" max="11" width="25.71"/>
    <col customWidth="1" min="12" max="12" width="12.29"/>
    <col customWidth="1" min="13" max="13" width="9.71"/>
    <col customWidth="1" min="14" max="14" width="10.14"/>
    <col customWidth="1" min="15" max="15" width="11.29"/>
    <col customWidth="1" min="16" max="41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</row>
    <row r="4">
      <c r="A4" s="6" t="s">
        <v>10</v>
      </c>
      <c r="B4" s="6" t="s">
        <v>11</v>
      </c>
      <c r="C4" s="7">
        <f>IFERROR(VLOOKUP(B4,'COMPARAÇÃO DE PREÇOS'!A:E,2,FALSE),"")</f>
        <v>4.915106512</v>
      </c>
      <c r="D4" s="7">
        <f>IFERROR(VLOOKUP(B4,'COMPARAÇÃO DE PREÇOS'!A:E,3,FALSE),"")</f>
        <v>35</v>
      </c>
      <c r="E4" s="7">
        <f>IFERROR(VLOOKUP(B4,'COMPARAÇÃO DE PREÇOS'!A:E,5,FALSE),"")</f>
        <v>35</v>
      </c>
      <c r="F4" s="7">
        <f>IFERROR(VLOOKUP(B4,'COMPARAÇÃO DE PREÇOS'!A:E,4,FALSE),"")</f>
        <v>41.7</v>
      </c>
      <c r="G4" s="8">
        <f t="shared" ref="G4:G79" si="1">IF(OR(C4="",D4=""),"",C4/D4)</f>
        <v>0.1404316146</v>
      </c>
      <c r="H4" s="8">
        <f t="shared" ref="H4:H79" si="2">IF(OR(C4="",E4=""),"",C4/E4)</f>
        <v>0.1404316146</v>
      </c>
      <c r="I4" s="8">
        <f t="shared" ref="I4:I79" si="3">IF(OR(C4="",F4=""),"",C4/F4)</f>
        <v>0.1178682617</v>
      </c>
    </row>
    <row r="5">
      <c r="A5" s="9" t="s">
        <v>12</v>
      </c>
      <c r="B5" s="9" t="s">
        <v>13</v>
      </c>
      <c r="C5" s="10">
        <f>IFERROR(VLOOKUP(B5,'COMPARAÇÃO DE PREÇOS'!A:E,2,FALSE),"")</f>
        <v>3.272307692</v>
      </c>
      <c r="D5" s="10">
        <f>IFERROR(VLOOKUP(B5,'COMPARAÇÃO DE PREÇOS'!A:E,3,FALSE),"")</f>
        <v>20</v>
      </c>
      <c r="E5" s="10">
        <f>IFERROR(VLOOKUP(B5,'COMPARAÇÃO DE PREÇOS'!A:E,5,FALSE),"")</f>
        <v>20</v>
      </c>
      <c r="F5" s="10">
        <f>IFERROR(VLOOKUP(B5,'COMPARAÇÃO DE PREÇOS'!A:E,4,FALSE),"")</f>
        <v>24.9</v>
      </c>
      <c r="G5" s="11">
        <f t="shared" si="1"/>
        <v>0.1636153846</v>
      </c>
      <c r="H5" s="11">
        <f t="shared" si="2"/>
        <v>0.1636153846</v>
      </c>
      <c r="I5" s="11">
        <f t="shared" si="3"/>
        <v>0.1314179796</v>
      </c>
    </row>
    <row r="6">
      <c r="A6" s="6" t="s">
        <v>12</v>
      </c>
      <c r="B6" s="6" t="s">
        <v>14</v>
      </c>
      <c r="C6" s="7">
        <f>IFERROR(VLOOKUP(B6,'COMPARAÇÃO DE PREÇOS'!A:E,2,FALSE),"")</f>
        <v>3.296</v>
      </c>
      <c r="D6" s="7">
        <f>IFERROR(VLOOKUP(B6,'COMPARAÇÃO DE PREÇOS'!A:E,3,FALSE),"")</f>
        <v>20</v>
      </c>
      <c r="E6" s="7">
        <f>IFERROR(VLOOKUP(B6,'COMPARAÇÃO DE PREÇOS'!A:E,5,FALSE),"")</f>
        <v>20</v>
      </c>
      <c r="F6" s="7">
        <f>IFERROR(VLOOKUP(B6,'COMPARAÇÃO DE PREÇOS'!A:E,4,FALSE),"")</f>
        <v>24.9</v>
      </c>
      <c r="G6" s="8">
        <f t="shared" si="1"/>
        <v>0.1648</v>
      </c>
      <c r="H6" s="8">
        <f t="shared" si="2"/>
        <v>0.1648</v>
      </c>
      <c r="I6" s="8">
        <f t="shared" si="3"/>
        <v>0.1323694779</v>
      </c>
    </row>
    <row r="7">
      <c r="A7" s="9" t="s">
        <v>10</v>
      </c>
      <c r="B7" s="9" t="s">
        <v>15</v>
      </c>
      <c r="C7" s="10">
        <f>IFERROR(VLOOKUP(B7,'COMPARAÇÃO DE PREÇOS'!A:E,2,FALSE),"")</f>
        <v>8.94527</v>
      </c>
      <c r="D7" s="10">
        <f>IFERROR(VLOOKUP(B7,'COMPARAÇÃO DE PREÇOS'!A:E,3,FALSE),"")</f>
        <v>43</v>
      </c>
      <c r="E7" s="10">
        <f>IFERROR(VLOOKUP(B7,'COMPARAÇÃO DE PREÇOS'!A:E,5,FALSE),"")</f>
        <v>43</v>
      </c>
      <c r="F7" s="10">
        <f>IFERROR(VLOOKUP(B7,'COMPARAÇÃO DE PREÇOS'!A:E,4,FALSE),"")</f>
        <v>51.9</v>
      </c>
      <c r="G7" s="11">
        <f t="shared" si="1"/>
        <v>0.2080295349</v>
      </c>
      <c r="H7" s="11">
        <f t="shared" si="2"/>
        <v>0.2080295349</v>
      </c>
      <c r="I7" s="11">
        <f t="shared" si="3"/>
        <v>0.1723558767</v>
      </c>
    </row>
    <row r="8">
      <c r="A8" s="6" t="s">
        <v>12</v>
      </c>
      <c r="B8" s="6" t="s">
        <v>16</v>
      </c>
      <c r="C8" s="7">
        <f>IFERROR(VLOOKUP(B8,'COMPARAÇÃO DE PREÇOS'!A:E,2,FALSE),"")</f>
        <v>4.484</v>
      </c>
      <c r="D8" s="7">
        <f>IFERROR(VLOOKUP(B8,'COMPARAÇÃO DE PREÇOS'!A:E,3,FALSE),"")</f>
        <v>25</v>
      </c>
      <c r="E8" s="7">
        <f>IFERROR(VLOOKUP(B8,'COMPARAÇÃO DE PREÇOS'!A:E,5,FALSE),"")</f>
        <v>25</v>
      </c>
      <c r="F8" s="7">
        <f>IFERROR(VLOOKUP(B8,'COMPARAÇÃO DE PREÇOS'!A:E,4,FALSE),"")</f>
        <v>31.9</v>
      </c>
      <c r="G8" s="8">
        <f t="shared" si="1"/>
        <v>0.17936</v>
      </c>
      <c r="H8" s="8">
        <f t="shared" si="2"/>
        <v>0.17936</v>
      </c>
      <c r="I8" s="8">
        <f t="shared" si="3"/>
        <v>0.1405642633</v>
      </c>
      <c r="J8" s="12"/>
      <c r="K8" s="12"/>
      <c r="L8" s="12"/>
      <c r="M8" s="12"/>
    </row>
    <row r="9">
      <c r="A9" s="9" t="s">
        <v>12</v>
      </c>
      <c r="B9" s="9" t="s">
        <v>17</v>
      </c>
      <c r="C9" s="10">
        <f>IFERROR(VLOOKUP(B9,'COMPARAÇÃO DE PREÇOS'!A:E,2,FALSE),"")</f>
        <v>6.86</v>
      </c>
      <c r="D9" s="10">
        <f>IFERROR(VLOOKUP(B9,'COMPARAÇÃO DE PREÇOS'!A:E,3,FALSE),"")</f>
        <v>35</v>
      </c>
      <c r="E9" s="10">
        <f>IFERROR(VLOOKUP(B9,'COMPARAÇÃO DE PREÇOS'!A:E,5,FALSE),"")</f>
        <v>35</v>
      </c>
      <c r="F9" s="10">
        <f>IFERROR(VLOOKUP(B9,'COMPARAÇÃO DE PREÇOS'!A:E,4,FALSE),"")</f>
        <v>37.7</v>
      </c>
      <c r="G9" s="11">
        <f t="shared" si="1"/>
        <v>0.196</v>
      </c>
      <c r="H9" s="11">
        <f t="shared" si="2"/>
        <v>0.196</v>
      </c>
      <c r="I9" s="11">
        <f t="shared" si="3"/>
        <v>0.1819628647</v>
      </c>
    </row>
    <row r="10">
      <c r="A10" s="6" t="s">
        <v>10</v>
      </c>
      <c r="B10" s="6" t="s">
        <v>18</v>
      </c>
      <c r="C10" s="7">
        <f>IFERROR(VLOOKUP(B10,'COMPARAÇÃO DE PREÇOS'!A:E,2,FALSE),"")</f>
        <v>4.613710459</v>
      </c>
      <c r="D10" s="7">
        <f>IFERROR(VLOOKUP(B10,'COMPARAÇÃO DE PREÇOS'!A:E,3,FALSE),"")</f>
        <v>23</v>
      </c>
      <c r="E10" s="7">
        <f>IFERROR(VLOOKUP(B10,'COMPARAÇÃO DE PREÇOS'!A:E,5,FALSE),"")</f>
        <v>23</v>
      </c>
      <c r="F10" s="7">
        <f>IFERROR(VLOOKUP(B10,'COMPARAÇÃO DE PREÇOS'!A:E,4,FALSE),"")</f>
        <v>34</v>
      </c>
      <c r="G10" s="8">
        <f t="shared" si="1"/>
        <v>0.2005961069</v>
      </c>
      <c r="H10" s="8">
        <f t="shared" si="2"/>
        <v>0.2005961069</v>
      </c>
      <c r="I10" s="8">
        <f t="shared" si="3"/>
        <v>0.1356973664</v>
      </c>
    </row>
    <row r="11">
      <c r="A11" s="9" t="s">
        <v>10</v>
      </c>
      <c r="B11" s="9" t="s">
        <v>19</v>
      </c>
      <c r="C11" s="10">
        <f>IFERROR(VLOOKUP(B11,'COMPARAÇÃO DE PREÇOS'!A:E,2,FALSE),"")</f>
        <v>11.39705586</v>
      </c>
      <c r="D11" s="10">
        <f>IFERROR(VLOOKUP(B11,'COMPARAÇÃO DE PREÇOS'!A:E,3,FALSE),"")</f>
        <v>39</v>
      </c>
      <c r="E11" s="10">
        <f>IFERROR(VLOOKUP(B11,'COMPARAÇÃO DE PREÇOS'!A:E,5,FALSE),"")</f>
        <v>39</v>
      </c>
      <c r="F11" s="10">
        <f>IFERROR(VLOOKUP(B11,'COMPARAÇÃO DE PREÇOS'!A:E,4,FALSE),"")</f>
        <v>51.9</v>
      </c>
      <c r="G11" s="11">
        <f t="shared" si="1"/>
        <v>0.2922322017</v>
      </c>
      <c r="H11" s="11">
        <f t="shared" si="2"/>
        <v>0.2922322017</v>
      </c>
      <c r="I11" s="11">
        <f t="shared" si="3"/>
        <v>0.2195964521</v>
      </c>
    </row>
    <row r="12">
      <c r="A12" s="6" t="s">
        <v>12</v>
      </c>
      <c r="B12" s="6" t="s">
        <v>20</v>
      </c>
      <c r="C12" s="7">
        <f>IFERROR(VLOOKUP(B12,'COMPARAÇÃO DE PREÇOS'!A:E,2,FALSE),"")</f>
        <v>9.360009231</v>
      </c>
      <c r="D12" s="7">
        <f>IFERROR(VLOOKUP(B12,'COMPARAÇÃO DE PREÇOS'!A:E,3,FALSE),"")</f>
        <v>45</v>
      </c>
      <c r="E12" s="7">
        <f>IFERROR(VLOOKUP(B12,'COMPARAÇÃO DE PREÇOS'!A:E,5,FALSE),"")</f>
        <v>45</v>
      </c>
      <c r="F12" s="7">
        <f>IFERROR(VLOOKUP(B12,'COMPARAÇÃO DE PREÇOS'!A:E,4,FALSE),"")</f>
        <v>55</v>
      </c>
      <c r="G12" s="8">
        <f t="shared" si="1"/>
        <v>0.2080002051</v>
      </c>
      <c r="H12" s="8">
        <f t="shared" si="2"/>
        <v>0.2080002051</v>
      </c>
      <c r="I12" s="8">
        <f t="shared" si="3"/>
        <v>0.170181986</v>
      </c>
    </row>
    <row r="13">
      <c r="A13" s="9" t="s">
        <v>21</v>
      </c>
      <c r="B13" s="9" t="s">
        <v>22</v>
      </c>
      <c r="C13" s="10">
        <f>IFERROR(VLOOKUP(B13,'COMPARAÇÃO DE PREÇOS'!A:E,2,FALSE),"")</f>
        <v>1.0675</v>
      </c>
      <c r="D13" s="10">
        <f>IFERROR(VLOOKUP(B13,'COMPARAÇÃO DE PREÇOS'!A:E,3,FALSE),"")</f>
        <v>5</v>
      </c>
      <c r="E13" s="10">
        <f>IFERROR(VLOOKUP(B13,'COMPARAÇÃO DE PREÇOS'!A:E,5,FALSE),"")</f>
        <v>5</v>
      </c>
      <c r="F13" s="10">
        <f>IFERROR(VLOOKUP(B13,'COMPARAÇÃO DE PREÇOS'!A:E,4,FALSE),"")</f>
        <v>6</v>
      </c>
      <c r="G13" s="11">
        <f t="shared" si="1"/>
        <v>0.2135</v>
      </c>
      <c r="H13" s="11">
        <f t="shared" si="2"/>
        <v>0.2135</v>
      </c>
      <c r="I13" s="11">
        <f t="shared" si="3"/>
        <v>0.1779166667</v>
      </c>
      <c r="L13" s="12"/>
      <c r="M13" s="12"/>
      <c r="N13" s="12"/>
      <c r="O13" s="12"/>
    </row>
    <row r="14">
      <c r="A14" s="6" t="s">
        <v>12</v>
      </c>
      <c r="B14" s="6" t="s">
        <v>23</v>
      </c>
      <c r="C14" s="7">
        <f>IFERROR(VLOOKUP(B14,'COMPARAÇÃO DE PREÇOS'!A:E,2,FALSE),"")</f>
        <v>5.624615385</v>
      </c>
      <c r="D14" s="7">
        <f>IFERROR(VLOOKUP(B14,'COMPARAÇÃO DE PREÇOS'!A:E,3,FALSE),"")</f>
        <v>25</v>
      </c>
      <c r="E14" s="7">
        <f>IFERROR(VLOOKUP(B14,'COMPARAÇÃO DE PREÇOS'!A:E,5,FALSE),"")</f>
        <v>25</v>
      </c>
      <c r="F14" s="7">
        <f>IFERROR(VLOOKUP(B14,'COMPARAÇÃO DE PREÇOS'!A:E,4,FALSE),"")</f>
        <v>31.9</v>
      </c>
      <c r="G14" s="8">
        <f t="shared" si="1"/>
        <v>0.2249846154</v>
      </c>
      <c r="H14" s="8">
        <f t="shared" si="2"/>
        <v>0.2249846154</v>
      </c>
      <c r="I14" s="8">
        <f t="shared" si="3"/>
        <v>0.1763202315</v>
      </c>
      <c r="L14" s="12"/>
      <c r="M14" s="12"/>
      <c r="N14" s="12"/>
      <c r="O14" s="12"/>
    </row>
    <row r="15">
      <c r="A15" s="9" t="s">
        <v>12</v>
      </c>
      <c r="B15" s="9" t="s">
        <v>24</v>
      </c>
      <c r="C15" s="10">
        <f>IFERROR(VLOOKUP(B15,'COMPARAÇÃO DE PREÇOS'!A:E,2,FALSE),"")</f>
        <v>4.631701538</v>
      </c>
      <c r="D15" s="10">
        <f>IFERROR(VLOOKUP(B15,'COMPARAÇÃO DE PREÇOS'!A:E,3,FALSE),"")</f>
        <v>20</v>
      </c>
      <c r="E15" s="10">
        <f>IFERROR(VLOOKUP(B15,'COMPARAÇÃO DE PREÇOS'!A:E,5,FALSE),"")</f>
        <v>20</v>
      </c>
      <c r="F15" s="10">
        <f>IFERROR(VLOOKUP(B15,'COMPARAÇÃO DE PREÇOS'!A:E,4,FALSE),"")</f>
        <v>24.9</v>
      </c>
      <c r="G15" s="11">
        <f t="shared" si="1"/>
        <v>0.2315850769</v>
      </c>
      <c r="H15" s="11">
        <f t="shared" si="2"/>
        <v>0.2315850769</v>
      </c>
      <c r="I15" s="11">
        <f t="shared" si="3"/>
        <v>0.18601211</v>
      </c>
      <c r="L15" s="12"/>
      <c r="M15" s="12"/>
      <c r="N15" s="12"/>
      <c r="O15" s="12"/>
    </row>
    <row r="16">
      <c r="A16" s="6" t="s">
        <v>25</v>
      </c>
      <c r="B16" s="6" t="s">
        <v>26</v>
      </c>
      <c r="C16" s="7">
        <f>IFERROR(VLOOKUP(B16,'COMPARAÇÃO DE PREÇOS'!A:E,2,FALSE),"")</f>
        <v>4.76</v>
      </c>
      <c r="D16" s="7">
        <f>IFERROR(VLOOKUP(B16,'COMPARAÇÃO DE PREÇOS'!A:E,3,FALSE),"")</f>
        <v>20</v>
      </c>
      <c r="E16" s="7" t="str">
        <f>IFERROR(VLOOKUP(B16,'COMPARAÇÃO DE PREÇOS'!A:E,5,FALSE),"")</f>
        <v/>
      </c>
      <c r="F16" s="7">
        <f>IFERROR(VLOOKUP(B16,'COMPARAÇÃO DE PREÇOS'!A:E,4,FALSE),"")</f>
        <v>25</v>
      </c>
      <c r="G16" s="8">
        <f t="shared" si="1"/>
        <v>0.238</v>
      </c>
      <c r="H16" s="8" t="str">
        <f t="shared" si="2"/>
        <v/>
      </c>
      <c r="I16" s="8">
        <f t="shared" si="3"/>
        <v>0.1904</v>
      </c>
      <c r="L16" s="12"/>
      <c r="M16" s="12"/>
      <c r="N16" s="12"/>
      <c r="O16" s="12"/>
    </row>
    <row r="17">
      <c r="A17" s="9" t="s">
        <v>21</v>
      </c>
      <c r="B17" s="9" t="s">
        <v>27</v>
      </c>
      <c r="C17" s="10">
        <f>IFERROR(VLOOKUP(B17,'COMPARAÇÃO DE PREÇOS'!A:E,2,FALSE),"")</f>
        <v>1.21202381</v>
      </c>
      <c r="D17" s="10">
        <f>IFERROR(VLOOKUP(B17,'COMPARAÇÃO DE PREÇOS'!A:E,3,FALSE),"")</f>
        <v>5</v>
      </c>
      <c r="E17" s="10">
        <f>IFERROR(VLOOKUP(B17,'COMPARAÇÃO DE PREÇOS'!A:E,5,FALSE),"")</f>
        <v>5</v>
      </c>
      <c r="F17" s="10">
        <f>IFERROR(VLOOKUP(B17,'COMPARAÇÃO DE PREÇOS'!A:E,4,FALSE),"")</f>
        <v>6</v>
      </c>
      <c r="G17" s="11">
        <f t="shared" si="1"/>
        <v>0.2424047619</v>
      </c>
      <c r="H17" s="11">
        <f t="shared" si="2"/>
        <v>0.2424047619</v>
      </c>
      <c r="I17" s="11">
        <f t="shared" si="3"/>
        <v>0.2020039683</v>
      </c>
      <c r="L17" s="12"/>
      <c r="M17" s="12"/>
      <c r="N17" s="12"/>
      <c r="O17" s="12"/>
    </row>
    <row r="18">
      <c r="A18" s="6" t="s">
        <v>10</v>
      </c>
      <c r="B18" s="6" t="s">
        <v>28</v>
      </c>
      <c r="C18" s="7">
        <f>IFERROR(VLOOKUP(B18,'COMPARAÇÃO DE PREÇOS'!A:E,2,FALSE),"")</f>
        <v>7.116770459</v>
      </c>
      <c r="D18" s="7">
        <f>IFERROR(VLOOKUP(B18,'COMPARAÇÃO DE PREÇOS'!A:E,3,FALSE),"")</f>
        <v>28</v>
      </c>
      <c r="E18" s="7">
        <f>IFERROR(VLOOKUP(B18,'COMPARAÇÃO DE PREÇOS'!A:E,5,FALSE),"")</f>
        <v>28</v>
      </c>
      <c r="F18" s="7">
        <f>IFERROR(VLOOKUP(B18,'COMPARAÇÃO DE PREÇOS'!A:E,4,FALSE),"")</f>
        <v>39</v>
      </c>
      <c r="G18" s="8">
        <f t="shared" si="1"/>
        <v>0.2541703735</v>
      </c>
      <c r="H18" s="8">
        <f t="shared" si="2"/>
        <v>0.2541703735</v>
      </c>
      <c r="I18" s="8">
        <f t="shared" si="3"/>
        <v>0.1824812938</v>
      </c>
      <c r="L18" s="12"/>
      <c r="M18" s="12"/>
      <c r="N18" s="12"/>
      <c r="O18" s="12"/>
    </row>
    <row r="19">
      <c r="A19" s="9" t="s">
        <v>10</v>
      </c>
      <c r="B19" s="9" t="s">
        <v>29</v>
      </c>
      <c r="C19" s="10">
        <f>IFERROR(VLOOKUP(B19,'COMPARAÇÃO DE PREÇOS'!A:E,2,FALSE),"")</f>
        <v>11.88262121</v>
      </c>
      <c r="D19" s="10">
        <f>IFERROR(VLOOKUP(B19,'COMPARAÇÃO DE PREÇOS'!A:E,3,FALSE),"")</f>
        <v>43</v>
      </c>
      <c r="E19" s="10">
        <f>IFERROR(VLOOKUP(B19,'COMPARAÇÃO DE PREÇOS'!A:E,5,FALSE),"")</f>
        <v>43</v>
      </c>
      <c r="F19" s="10">
        <f>IFERROR(VLOOKUP(B19,'COMPARAÇÃO DE PREÇOS'!A:E,4,FALSE),"")</f>
        <v>53.7</v>
      </c>
      <c r="G19" s="11">
        <f t="shared" si="1"/>
        <v>0.2763400282</v>
      </c>
      <c r="H19" s="11">
        <f t="shared" si="2"/>
        <v>0.2763400282</v>
      </c>
      <c r="I19" s="11">
        <f t="shared" si="3"/>
        <v>0.2212778625</v>
      </c>
      <c r="L19" s="12"/>
      <c r="M19" s="12"/>
      <c r="N19" s="12"/>
      <c r="O19" s="12"/>
    </row>
    <row r="20" ht="15.75" customHeight="1">
      <c r="A20" s="6" t="s">
        <v>21</v>
      </c>
      <c r="B20" s="6" t="s">
        <v>30</v>
      </c>
      <c r="C20" s="7">
        <f>IFERROR(VLOOKUP(B20,'COMPARAÇÃO DE PREÇOS'!A:E,2,FALSE),"")</f>
        <v>3.317291667</v>
      </c>
      <c r="D20" s="7">
        <f>IFERROR(VLOOKUP(B20,'COMPARAÇÃO DE PREÇOS'!A:E,3,FALSE),"")</f>
        <v>12</v>
      </c>
      <c r="E20" s="7">
        <f>IFERROR(VLOOKUP(B20,'COMPARAÇÃO DE PREÇOS'!A:E,5,FALSE),"")</f>
        <v>12</v>
      </c>
      <c r="F20" s="7">
        <f>IFERROR(VLOOKUP(B20,'COMPARAÇÃO DE PREÇOS'!A:E,4,FALSE),"")</f>
        <v>12.9</v>
      </c>
      <c r="G20" s="8">
        <f t="shared" si="1"/>
        <v>0.2764409722</v>
      </c>
      <c r="H20" s="8">
        <f t="shared" si="2"/>
        <v>0.2764409722</v>
      </c>
      <c r="I20" s="8">
        <f t="shared" si="3"/>
        <v>0.2571543928</v>
      </c>
      <c r="L20" s="12"/>
      <c r="M20" s="12"/>
      <c r="N20" s="12"/>
      <c r="O20" s="12"/>
    </row>
    <row r="21" ht="15.75" customHeight="1">
      <c r="A21" s="9" t="s">
        <v>21</v>
      </c>
      <c r="B21" s="9" t="s">
        <v>31</v>
      </c>
      <c r="C21" s="10">
        <f>IFERROR(VLOOKUP(B21,'COMPARAÇÃO DE PREÇOS'!A:E,2,FALSE),"")</f>
        <v>3.323055556</v>
      </c>
      <c r="D21" s="10">
        <f>IFERROR(VLOOKUP(B21,'COMPARAÇÃO DE PREÇOS'!A:E,3,FALSE),"")</f>
        <v>12</v>
      </c>
      <c r="E21" s="10">
        <f>IFERROR(VLOOKUP(B21,'COMPARAÇÃO DE PREÇOS'!A:E,5,FALSE),"")</f>
        <v>12</v>
      </c>
      <c r="F21" s="10">
        <f>IFERROR(VLOOKUP(B21,'COMPARAÇÃO DE PREÇOS'!A:E,4,FALSE),"")</f>
        <v>12.9</v>
      </c>
      <c r="G21" s="11">
        <f t="shared" si="1"/>
        <v>0.2769212963</v>
      </c>
      <c r="H21" s="11">
        <f t="shared" si="2"/>
        <v>0.2769212963</v>
      </c>
      <c r="I21" s="11">
        <f t="shared" si="3"/>
        <v>0.2576012059</v>
      </c>
      <c r="L21" s="12"/>
      <c r="M21" s="12"/>
      <c r="N21" s="12"/>
      <c r="O21" s="12"/>
    </row>
    <row r="22" ht="15.75" customHeight="1">
      <c r="A22" s="6" t="s">
        <v>10</v>
      </c>
      <c r="B22" s="6" t="s">
        <v>32</v>
      </c>
      <c r="C22" s="7">
        <f>IFERROR(VLOOKUP(B22,'COMPARAÇÃO DE PREÇOS'!A:E,2,FALSE),"")</f>
        <v>17.06743086</v>
      </c>
      <c r="D22" s="7">
        <f>IFERROR(VLOOKUP(B22,'COMPARAÇÃO DE PREÇOS'!A:E,3,FALSE),"")</f>
        <v>59.9</v>
      </c>
      <c r="E22" s="7">
        <f>IFERROR(VLOOKUP(B22,'COMPARAÇÃO DE PREÇOS'!A:E,5,FALSE),"")</f>
        <v>59.9</v>
      </c>
      <c r="F22" s="7">
        <f>IFERROR(VLOOKUP(B22,'COMPARAÇÃO DE PREÇOS'!A:E,4,FALSE),"")</f>
        <v>74.7</v>
      </c>
      <c r="G22" s="8">
        <f t="shared" si="1"/>
        <v>0.2849320679</v>
      </c>
      <c r="H22" s="8">
        <f t="shared" si="2"/>
        <v>0.2849320679</v>
      </c>
      <c r="I22" s="8">
        <f t="shared" si="3"/>
        <v>0.2284796635</v>
      </c>
      <c r="L22" s="12"/>
      <c r="M22" s="12"/>
      <c r="N22" s="12"/>
      <c r="O22" s="12"/>
    </row>
    <row r="23" ht="15.75" customHeight="1">
      <c r="A23" s="9" t="s">
        <v>10</v>
      </c>
      <c r="B23" s="9" t="s">
        <v>33</v>
      </c>
      <c r="C23" s="10">
        <f>IFERROR(VLOOKUP(B23,'COMPARAÇÃO DE PREÇOS'!A:E,2,FALSE),"")</f>
        <v>9.619830459</v>
      </c>
      <c r="D23" s="10">
        <f>IFERROR(VLOOKUP(B23,'COMPARAÇÃO DE PREÇOS'!A:E,3,FALSE),"")</f>
        <v>33</v>
      </c>
      <c r="E23" s="10">
        <f>IFERROR(VLOOKUP(B23,'COMPARAÇÃO DE PREÇOS'!A:E,5,FALSE),"")</f>
        <v>33</v>
      </c>
      <c r="F23" s="10">
        <f>IFERROR(VLOOKUP(B23,'COMPARAÇÃO DE PREÇOS'!A:E,4,FALSE),"")</f>
        <v>45</v>
      </c>
      <c r="G23" s="11">
        <f t="shared" si="1"/>
        <v>0.2915100139</v>
      </c>
      <c r="H23" s="11">
        <f t="shared" si="2"/>
        <v>0.2915100139</v>
      </c>
      <c r="I23" s="11">
        <f t="shared" si="3"/>
        <v>0.2137740102</v>
      </c>
      <c r="L23" s="12"/>
      <c r="M23" s="12"/>
      <c r="N23" s="12"/>
      <c r="O23" s="12"/>
    </row>
    <row r="24" ht="15.75" customHeight="1">
      <c r="A24" s="6" t="s">
        <v>10</v>
      </c>
      <c r="B24" s="6" t="s">
        <v>34</v>
      </c>
      <c r="C24" s="7">
        <f>IFERROR(VLOOKUP(B24,'COMPARAÇÃO DE PREÇOS'!A:E,2,FALSE),"")</f>
        <v>11.05267586</v>
      </c>
      <c r="D24" s="7">
        <f>IFERROR(VLOOKUP(B24,'COMPARAÇÃO DE PREÇOS'!A:E,3,FALSE),"")</f>
        <v>38</v>
      </c>
      <c r="E24" s="7">
        <f>IFERROR(VLOOKUP(B24,'COMPARAÇÃO DE PREÇOS'!A:E,5,FALSE),"")</f>
        <v>38</v>
      </c>
      <c r="F24" s="7">
        <f>IFERROR(VLOOKUP(B24,'COMPARAÇÃO DE PREÇOS'!A:E,4,FALSE),"")</f>
        <v>57.9</v>
      </c>
      <c r="G24" s="8">
        <f t="shared" si="1"/>
        <v>0.2908598912</v>
      </c>
      <c r="H24" s="8">
        <f t="shared" si="2"/>
        <v>0.2908598912</v>
      </c>
      <c r="I24" s="8">
        <f t="shared" si="3"/>
        <v>0.190892502</v>
      </c>
      <c r="L24" s="12"/>
      <c r="M24" s="12"/>
      <c r="N24" s="12"/>
      <c r="O24" s="12"/>
    </row>
    <row r="25" ht="15.75" customHeight="1">
      <c r="A25" s="9" t="s">
        <v>12</v>
      </c>
      <c r="B25" s="9" t="s">
        <v>35</v>
      </c>
      <c r="C25" s="10">
        <f>IFERROR(VLOOKUP(B25,'COMPARAÇÃO DE PREÇOS'!A:E,2,FALSE),"")</f>
        <v>10.32923077</v>
      </c>
      <c r="D25" s="10">
        <f>IFERROR(VLOOKUP(B25,'COMPARAÇÃO DE PREÇOS'!A:E,3,FALSE),"")</f>
        <v>35</v>
      </c>
      <c r="E25" s="10">
        <f>IFERROR(VLOOKUP(B25,'COMPARAÇÃO DE PREÇOS'!A:E,5,FALSE),"")</f>
        <v>35</v>
      </c>
      <c r="F25" s="10">
        <f>IFERROR(VLOOKUP(B25,'COMPARAÇÃO DE PREÇOS'!A:E,4,FALSE),"")</f>
        <v>36.9</v>
      </c>
      <c r="G25" s="11">
        <f t="shared" si="1"/>
        <v>0.2951208791</v>
      </c>
      <c r="H25" s="11">
        <f t="shared" si="2"/>
        <v>0.2951208791</v>
      </c>
      <c r="I25" s="11">
        <f t="shared" si="3"/>
        <v>0.2799249531</v>
      </c>
      <c r="L25" s="12"/>
      <c r="M25" s="12"/>
      <c r="N25" s="12"/>
      <c r="O25" s="12"/>
    </row>
    <row r="26" ht="15.75" customHeight="1">
      <c r="A26" s="6" t="s">
        <v>21</v>
      </c>
      <c r="B26" s="6" t="s">
        <v>36</v>
      </c>
      <c r="C26" s="7">
        <f>IFERROR(VLOOKUP(B26,'COMPARAÇÃO DE PREÇOS'!A:E,2,FALSE),"")</f>
        <v>3.666666667</v>
      </c>
      <c r="D26" s="7">
        <f>IFERROR(VLOOKUP(B26,'COMPARAÇÃO DE PREÇOS'!A:E,3,FALSE),"")</f>
        <v>12</v>
      </c>
      <c r="E26" s="7">
        <f>IFERROR(VLOOKUP(B26,'COMPARAÇÃO DE PREÇOS'!A:E,5,FALSE),"")</f>
        <v>12</v>
      </c>
      <c r="F26" s="7">
        <f>IFERROR(VLOOKUP(B26,'COMPARAÇÃO DE PREÇOS'!A:E,4,FALSE),"")</f>
        <v>12.9</v>
      </c>
      <c r="G26" s="8">
        <f t="shared" si="1"/>
        <v>0.3055555556</v>
      </c>
      <c r="H26" s="8">
        <f t="shared" si="2"/>
        <v>0.3055555556</v>
      </c>
      <c r="I26" s="8">
        <f t="shared" si="3"/>
        <v>0.2842377261</v>
      </c>
      <c r="L26" s="12"/>
      <c r="M26" s="12"/>
      <c r="N26" s="12"/>
      <c r="O26" s="12"/>
    </row>
    <row r="27" ht="15.75" customHeight="1">
      <c r="A27" s="9" t="s">
        <v>10</v>
      </c>
      <c r="B27" s="9" t="s">
        <v>37</v>
      </c>
      <c r="C27" s="10">
        <f>IFERROR(VLOOKUP(B27,'COMPARAÇÃO DE PREÇOS'!A:E,2,FALSE),"")</f>
        <v>12.52523586</v>
      </c>
      <c r="D27" s="10">
        <f>IFERROR(VLOOKUP(B27,'COMPARAÇÃO DE PREÇOS'!A:E,3,FALSE),"")</f>
        <v>39</v>
      </c>
      <c r="E27" s="10">
        <f>IFERROR(VLOOKUP(B27,'COMPARAÇÃO DE PREÇOS'!A:E,5,FALSE),"")</f>
        <v>39</v>
      </c>
      <c r="F27" s="10">
        <f>IFERROR(VLOOKUP(B27,'COMPARAÇÃO DE PREÇOS'!A:E,4,FALSE),"")</f>
        <v>59.9</v>
      </c>
      <c r="G27" s="11">
        <f t="shared" si="1"/>
        <v>0.321159894</v>
      </c>
      <c r="H27" s="11">
        <f t="shared" si="2"/>
        <v>0.321159894</v>
      </c>
      <c r="I27" s="11">
        <f t="shared" si="3"/>
        <v>0.2091024351</v>
      </c>
      <c r="L27" s="12"/>
      <c r="M27" s="12"/>
      <c r="N27" s="12"/>
      <c r="O27" s="12"/>
    </row>
    <row r="28" ht="15.75" customHeight="1">
      <c r="A28" s="6" t="s">
        <v>12</v>
      </c>
      <c r="B28" s="6" t="s">
        <v>38</v>
      </c>
      <c r="C28" s="7">
        <f>IFERROR(VLOOKUP(B28,'COMPARAÇÃO DE PREÇOS'!A:E,2,FALSE),"")</f>
        <v>7.879440385</v>
      </c>
      <c r="D28" s="7">
        <f>IFERROR(VLOOKUP(B28,'COMPARAÇÃO DE PREÇOS'!A:E,3,FALSE),"")</f>
        <v>25</v>
      </c>
      <c r="E28" s="7">
        <f>IFERROR(VLOOKUP(B28,'COMPARAÇÃO DE PREÇOS'!A:E,5,FALSE),"")</f>
        <v>25</v>
      </c>
      <c r="F28" s="7">
        <f>IFERROR(VLOOKUP(B28,'COMPARAÇÃO DE PREÇOS'!A:E,4,FALSE),"")</f>
        <v>31.9</v>
      </c>
      <c r="G28" s="8">
        <f t="shared" si="1"/>
        <v>0.3151776154</v>
      </c>
      <c r="H28" s="8">
        <f t="shared" si="2"/>
        <v>0.3151776154</v>
      </c>
      <c r="I28" s="8">
        <f t="shared" si="3"/>
        <v>0.2470044008</v>
      </c>
      <c r="L28" s="12"/>
      <c r="M28" s="12"/>
      <c r="N28" s="12"/>
      <c r="O28" s="12"/>
    </row>
    <row r="29" ht="15.75" customHeight="1">
      <c r="A29" s="9" t="s">
        <v>10</v>
      </c>
      <c r="B29" s="9" t="s">
        <v>39</v>
      </c>
      <c r="C29" s="10">
        <f>IFERROR(VLOOKUP(B29,'COMPARAÇÃO DE PREÇOS'!A:E,2,FALSE),"")</f>
        <v>8.147270459</v>
      </c>
      <c r="D29" s="10">
        <f>IFERROR(VLOOKUP(B29,'COMPARAÇÃO DE PREÇOS'!A:E,3,FALSE),"")</f>
        <v>25</v>
      </c>
      <c r="E29" s="10">
        <f>IFERROR(VLOOKUP(B29,'COMPARAÇÃO DE PREÇOS'!A:E,5,FALSE),"")</f>
        <v>25</v>
      </c>
      <c r="F29" s="10">
        <f>IFERROR(VLOOKUP(B29,'COMPARAÇÃO DE PREÇOS'!A:E,4,FALSE),"")</f>
        <v>30</v>
      </c>
      <c r="G29" s="11">
        <f t="shared" si="1"/>
        <v>0.3258908184</v>
      </c>
      <c r="H29" s="11">
        <f t="shared" si="2"/>
        <v>0.3258908184</v>
      </c>
      <c r="I29" s="11">
        <f t="shared" si="3"/>
        <v>0.271575682</v>
      </c>
      <c r="L29" s="12"/>
      <c r="M29" s="12"/>
      <c r="N29" s="12"/>
      <c r="O29" s="12"/>
    </row>
    <row r="30" ht="15.75" customHeight="1">
      <c r="A30" s="6" t="s">
        <v>21</v>
      </c>
      <c r="B30" s="6" t="s">
        <v>40</v>
      </c>
      <c r="C30" s="7">
        <f>IFERROR(VLOOKUP(B30,'COMPARAÇÃO DE PREÇOS'!A:E,2,FALSE),"")</f>
        <v>4.5</v>
      </c>
      <c r="D30" s="7">
        <f>IFERROR(VLOOKUP(B30,'COMPARAÇÃO DE PREÇOS'!A:E,3,FALSE),"")</f>
        <v>14</v>
      </c>
      <c r="E30" s="7">
        <f>IFERROR(VLOOKUP(B30,'COMPARAÇÃO DE PREÇOS'!A:E,5,FALSE),"")</f>
        <v>14</v>
      </c>
      <c r="F30" s="7">
        <f>IFERROR(VLOOKUP(B30,'COMPARAÇÃO DE PREÇOS'!A:E,4,FALSE),"")</f>
        <v>15</v>
      </c>
      <c r="G30" s="8">
        <f t="shared" si="1"/>
        <v>0.3214285714</v>
      </c>
      <c r="H30" s="8">
        <f t="shared" si="2"/>
        <v>0.3214285714</v>
      </c>
      <c r="I30" s="8">
        <f t="shared" si="3"/>
        <v>0.3</v>
      </c>
      <c r="L30" s="12"/>
      <c r="M30" s="12"/>
      <c r="N30" s="12"/>
      <c r="O30" s="12"/>
    </row>
    <row r="31" ht="15.75" customHeight="1">
      <c r="A31" s="9" t="s">
        <v>12</v>
      </c>
      <c r="B31" s="9" t="s">
        <v>41</v>
      </c>
      <c r="C31" s="10">
        <f>IFERROR(VLOOKUP(B31,'COMPARAÇÃO DE PREÇOS'!A:E,2,FALSE),"")</f>
        <v>12.54289665</v>
      </c>
      <c r="D31" s="10">
        <f>IFERROR(VLOOKUP(B31,'COMPARAÇÃO DE PREÇOS'!A:E,3,FALSE),"")</f>
        <v>39</v>
      </c>
      <c r="E31" s="10">
        <f>IFERROR(VLOOKUP(B31,'COMPARAÇÃO DE PREÇOS'!A:E,5,FALSE),"")</f>
        <v>39</v>
      </c>
      <c r="F31" s="10">
        <f>IFERROR(VLOOKUP(B31,'COMPARAÇÃO DE PREÇOS'!A:E,4,FALSE),"")</f>
        <v>49.9</v>
      </c>
      <c r="G31" s="11">
        <f t="shared" si="1"/>
        <v>0.3216127346</v>
      </c>
      <c r="H31" s="11">
        <f t="shared" si="2"/>
        <v>0.3216127346</v>
      </c>
      <c r="I31" s="11">
        <f t="shared" si="3"/>
        <v>0.2513606543</v>
      </c>
      <c r="L31" s="12"/>
      <c r="M31" s="12"/>
      <c r="N31" s="12"/>
      <c r="O31" s="12"/>
    </row>
    <row r="32" ht="15.75" customHeight="1">
      <c r="A32" s="6" t="s">
        <v>12</v>
      </c>
      <c r="B32" s="6" t="s">
        <v>42</v>
      </c>
      <c r="C32" s="7">
        <f>IFERROR(VLOOKUP(B32,'COMPARAÇÃO DE PREÇOS'!A:E,2,FALSE),"")</f>
        <v>13.2543695</v>
      </c>
      <c r="D32" s="7">
        <f>IFERROR(VLOOKUP(B32,'COMPARAÇÃO DE PREÇOS'!A:E,3,FALSE),"")</f>
        <v>39</v>
      </c>
      <c r="E32" s="7">
        <f>IFERROR(VLOOKUP(B32,'COMPARAÇÃO DE PREÇOS'!A:E,5,FALSE),"")</f>
        <v>39</v>
      </c>
      <c r="F32" s="7" t="str">
        <f>IFERROR(VLOOKUP(B32,'COMPARAÇÃO DE PREÇOS'!A:E,4,FALSE),"")</f>
        <v/>
      </c>
      <c r="G32" s="8">
        <f t="shared" si="1"/>
        <v>0.3398556283</v>
      </c>
      <c r="H32" s="8">
        <f t="shared" si="2"/>
        <v>0.3398556283</v>
      </c>
      <c r="I32" s="8" t="str">
        <f t="shared" si="3"/>
        <v/>
      </c>
      <c r="L32" s="12"/>
      <c r="M32" s="12"/>
      <c r="N32" s="12"/>
      <c r="O32" s="12"/>
    </row>
    <row r="33" ht="15.75" customHeight="1">
      <c r="A33" s="9" t="s">
        <v>21</v>
      </c>
      <c r="B33" s="9" t="s">
        <v>43</v>
      </c>
      <c r="C33" s="10">
        <f>IFERROR(VLOOKUP(B33,'COMPARAÇÃO DE PREÇOS'!A:E,2,FALSE),"")</f>
        <v>5</v>
      </c>
      <c r="D33" s="10">
        <f>IFERROR(VLOOKUP(B33,'COMPARAÇÃO DE PREÇOS'!A:E,3,FALSE),"")</f>
        <v>14</v>
      </c>
      <c r="E33" s="10">
        <f>IFERROR(VLOOKUP(B33,'COMPARAÇÃO DE PREÇOS'!A:E,5,FALSE),"")</f>
        <v>14</v>
      </c>
      <c r="F33" s="10">
        <f>IFERROR(VLOOKUP(B33,'COMPARAÇÃO DE PREÇOS'!A:E,4,FALSE),"")</f>
        <v>15</v>
      </c>
      <c r="G33" s="11">
        <f t="shared" si="1"/>
        <v>0.3571428571</v>
      </c>
      <c r="H33" s="11">
        <f t="shared" si="2"/>
        <v>0.3571428571</v>
      </c>
      <c r="I33" s="11">
        <f t="shared" si="3"/>
        <v>0.3333333333</v>
      </c>
      <c r="L33" s="12"/>
      <c r="M33" s="12"/>
      <c r="N33" s="12"/>
      <c r="O33" s="12"/>
    </row>
    <row r="34" ht="15.75" customHeight="1">
      <c r="A34" s="6" t="s">
        <v>21</v>
      </c>
      <c r="B34" s="6" t="s">
        <v>44</v>
      </c>
      <c r="C34" s="7">
        <f>IFERROR(VLOOKUP(B34,'COMPARAÇÃO DE PREÇOS'!A:E,2,FALSE),"")</f>
        <v>2.527348485</v>
      </c>
      <c r="D34" s="7">
        <f>IFERROR(VLOOKUP(B34,'COMPARAÇÃO DE PREÇOS'!A:E,3,FALSE),"")</f>
        <v>7</v>
      </c>
      <c r="E34" s="7">
        <f>IFERROR(VLOOKUP(B34,'COMPARAÇÃO DE PREÇOS'!A:E,5,FALSE),"")</f>
        <v>8</v>
      </c>
      <c r="F34" s="7">
        <f>IFERROR(VLOOKUP(B34,'COMPARAÇÃO DE PREÇOS'!A:E,4,FALSE),"")</f>
        <v>9</v>
      </c>
      <c r="G34" s="8">
        <f t="shared" si="1"/>
        <v>0.3610497835</v>
      </c>
      <c r="H34" s="8">
        <f t="shared" si="2"/>
        <v>0.3159185606</v>
      </c>
      <c r="I34" s="8">
        <f t="shared" si="3"/>
        <v>0.2808164983</v>
      </c>
      <c r="L34" s="12"/>
      <c r="M34" s="12"/>
      <c r="N34" s="12"/>
      <c r="O34" s="12"/>
    </row>
    <row r="35" ht="15.75" customHeight="1">
      <c r="A35" s="9" t="s">
        <v>21</v>
      </c>
      <c r="B35" s="9" t="s">
        <v>45</v>
      </c>
      <c r="C35" s="10">
        <f>IFERROR(VLOOKUP(B35,'COMPARAÇÃO DE PREÇOS'!A:E,2,FALSE),"")</f>
        <v>2.55375</v>
      </c>
      <c r="D35" s="10">
        <f>IFERROR(VLOOKUP(B35,'COMPARAÇÃO DE PREÇOS'!A:E,3,FALSE),"")</f>
        <v>7</v>
      </c>
      <c r="E35" s="10">
        <f>IFERROR(VLOOKUP(B35,'COMPARAÇÃO DE PREÇOS'!A:E,5,FALSE),"")</f>
        <v>8</v>
      </c>
      <c r="F35" s="10">
        <f>IFERROR(VLOOKUP(B35,'COMPARAÇÃO DE PREÇOS'!A:E,4,FALSE),"")</f>
        <v>9</v>
      </c>
      <c r="G35" s="11">
        <f t="shared" si="1"/>
        <v>0.3648214286</v>
      </c>
      <c r="H35" s="11">
        <f t="shared" si="2"/>
        <v>0.31921875</v>
      </c>
      <c r="I35" s="11">
        <f t="shared" si="3"/>
        <v>0.28375</v>
      </c>
      <c r="L35" s="12"/>
      <c r="M35" s="12"/>
      <c r="N35" s="12"/>
      <c r="O35" s="12"/>
    </row>
    <row r="36" ht="15.75" customHeight="1">
      <c r="A36" s="6" t="s">
        <v>12</v>
      </c>
      <c r="B36" s="6" t="s">
        <v>46</v>
      </c>
      <c r="C36" s="7">
        <f>IFERROR(VLOOKUP(B36,'COMPARAÇÃO DE PREÇOS'!A:E,2,FALSE),"")</f>
        <v>14.83888077</v>
      </c>
      <c r="D36" s="7">
        <f>IFERROR(VLOOKUP(B36,'COMPARAÇÃO DE PREÇOS'!A:E,3,FALSE),"")</f>
        <v>40</v>
      </c>
      <c r="E36" s="7">
        <f>IFERROR(VLOOKUP(B36,'COMPARAÇÃO DE PREÇOS'!A:E,5,FALSE),"")</f>
        <v>40</v>
      </c>
      <c r="F36" s="7">
        <f>IFERROR(VLOOKUP(B36,'COMPARAÇÃO DE PREÇOS'!A:E,4,FALSE),"")</f>
        <v>43.7</v>
      </c>
      <c r="G36" s="8">
        <f t="shared" si="1"/>
        <v>0.3709720192</v>
      </c>
      <c r="H36" s="8">
        <f t="shared" si="2"/>
        <v>0.3709720192</v>
      </c>
      <c r="I36" s="8">
        <f t="shared" si="3"/>
        <v>0.339562489</v>
      </c>
      <c r="L36" s="12"/>
      <c r="M36" s="12"/>
      <c r="N36" s="12"/>
      <c r="O36" s="12"/>
    </row>
    <row r="37" ht="15.75" customHeight="1">
      <c r="A37" s="9" t="s">
        <v>21</v>
      </c>
      <c r="B37" s="9" t="s">
        <v>47</v>
      </c>
      <c r="C37" s="10">
        <f>IFERROR(VLOOKUP(B37,'COMPARAÇÃO DE PREÇOS'!A:E,2,FALSE),"")</f>
        <v>2.6</v>
      </c>
      <c r="D37" s="10">
        <f>IFERROR(VLOOKUP(B37,'COMPARAÇÃO DE PREÇOS'!A:E,3,FALSE),"")</f>
        <v>7</v>
      </c>
      <c r="E37" s="10">
        <f>IFERROR(VLOOKUP(B37,'COMPARAÇÃO DE PREÇOS'!A:E,5,FALSE),"")</f>
        <v>8</v>
      </c>
      <c r="F37" s="10" t="str">
        <f>IFERROR(VLOOKUP(B37,'COMPARAÇÃO DE PREÇOS'!A:E,4,FALSE),"")</f>
        <v/>
      </c>
      <c r="G37" s="11">
        <f t="shared" si="1"/>
        <v>0.3714285714</v>
      </c>
      <c r="H37" s="11">
        <f t="shared" si="2"/>
        <v>0.325</v>
      </c>
      <c r="I37" s="11" t="str">
        <f t="shared" si="3"/>
        <v/>
      </c>
      <c r="L37" s="12"/>
      <c r="M37" s="12"/>
      <c r="N37" s="12"/>
      <c r="O37" s="12"/>
    </row>
    <row r="38" ht="15.75" customHeight="1">
      <c r="A38" s="6" t="s">
        <v>21</v>
      </c>
      <c r="B38" s="6" t="s">
        <v>48</v>
      </c>
      <c r="C38" s="7">
        <f>IFERROR(VLOOKUP(B38,'COMPARAÇÃO DE PREÇOS'!A:E,2,FALSE),"")</f>
        <v>2.6075</v>
      </c>
      <c r="D38" s="7">
        <f>IFERROR(VLOOKUP(B38,'COMPARAÇÃO DE PREÇOS'!A:E,3,FALSE),"")</f>
        <v>7</v>
      </c>
      <c r="E38" s="7">
        <f>IFERROR(VLOOKUP(B38,'COMPARAÇÃO DE PREÇOS'!A:E,5,FALSE),"")</f>
        <v>8</v>
      </c>
      <c r="F38" s="7">
        <f>IFERROR(VLOOKUP(B38,'COMPARAÇÃO DE PREÇOS'!A:E,4,FALSE),"")</f>
        <v>9</v>
      </c>
      <c r="G38" s="8">
        <f t="shared" si="1"/>
        <v>0.3725</v>
      </c>
      <c r="H38" s="8">
        <f t="shared" si="2"/>
        <v>0.3259375</v>
      </c>
      <c r="I38" s="8">
        <f t="shared" si="3"/>
        <v>0.2897222222</v>
      </c>
      <c r="L38" s="12"/>
      <c r="M38" s="12"/>
      <c r="N38" s="12"/>
      <c r="O38" s="12"/>
    </row>
    <row r="39" ht="15.75" customHeight="1">
      <c r="A39" s="9" t="s">
        <v>21</v>
      </c>
      <c r="B39" s="9" t="s">
        <v>49</v>
      </c>
      <c r="C39" s="10">
        <f>IFERROR(VLOOKUP(B39,'COMPARAÇÃO DE PREÇOS'!A:E,2,FALSE),"")</f>
        <v>2.6075</v>
      </c>
      <c r="D39" s="10">
        <f>IFERROR(VLOOKUP(B39,'COMPARAÇÃO DE PREÇOS'!A:E,3,FALSE),"")</f>
        <v>7</v>
      </c>
      <c r="E39" s="10">
        <f>IFERROR(VLOOKUP(B39,'COMPARAÇÃO DE PREÇOS'!A:E,5,FALSE),"")</f>
        <v>8</v>
      </c>
      <c r="F39" s="10" t="str">
        <f>IFERROR(VLOOKUP(B39,'COMPARAÇÃO DE PREÇOS'!A:E,4,FALSE),"")</f>
        <v/>
      </c>
      <c r="G39" s="11">
        <f t="shared" si="1"/>
        <v>0.3725</v>
      </c>
      <c r="H39" s="11">
        <f t="shared" si="2"/>
        <v>0.3259375</v>
      </c>
      <c r="I39" s="11" t="str">
        <f t="shared" si="3"/>
        <v/>
      </c>
      <c r="L39" s="12"/>
      <c r="M39" s="12"/>
      <c r="N39" s="12"/>
      <c r="O39" s="12"/>
    </row>
    <row r="40" ht="15.75" customHeight="1">
      <c r="A40" s="6" t="s">
        <v>21</v>
      </c>
      <c r="B40" s="6" t="s">
        <v>50</v>
      </c>
      <c r="C40" s="7">
        <f>IFERROR(VLOOKUP(B40,'COMPARAÇÃO DE PREÇOS'!A:E,2,FALSE),"")</f>
        <v>2.6075</v>
      </c>
      <c r="D40" s="7">
        <f>IFERROR(VLOOKUP(B40,'COMPARAÇÃO DE PREÇOS'!A:E,3,FALSE),"")</f>
        <v>7</v>
      </c>
      <c r="E40" s="7">
        <f>IFERROR(VLOOKUP(B40,'COMPARAÇÃO DE PREÇOS'!A:E,5,FALSE),"")</f>
        <v>8</v>
      </c>
      <c r="F40" s="7" t="str">
        <f>IFERROR(VLOOKUP(B40,'COMPARAÇÃO DE PREÇOS'!A:E,4,FALSE),"")</f>
        <v/>
      </c>
      <c r="G40" s="8">
        <f t="shared" si="1"/>
        <v>0.3725</v>
      </c>
      <c r="H40" s="8">
        <f t="shared" si="2"/>
        <v>0.3259375</v>
      </c>
      <c r="I40" s="8" t="str">
        <f t="shared" si="3"/>
        <v/>
      </c>
      <c r="L40" s="12"/>
      <c r="M40" s="12"/>
      <c r="N40" s="12"/>
      <c r="O40" s="12"/>
    </row>
    <row r="41" ht="15.75" customHeight="1">
      <c r="A41" s="9" t="s">
        <v>21</v>
      </c>
      <c r="B41" s="9" t="s">
        <v>51</v>
      </c>
      <c r="C41" s="10">
        <f>IFERROR(VLOOKUP(B41,'COMPARAÇÃO DE PREÇOS'!A:E,2,FALSE),"")</f>
        <v>8.16</v>
      </c>
      <c r="D41" s="10">
        <f>IFERROR(VLOOKUP(B41,'COMPARAÇÃO DE PREÇOS'!A:E,3,FALSE),"")</f>
        <v>20</v>
      </c>
      <c r="E41" s="10">
        <f>IFERROR(VLOOKUP(B41,'COMPARAÇÃO DE PREÇOS'!A:E,5,FALSE),"")</f>
        <v>20</v>
      </c>
      <c r="F41" s="10">
        <f>IFERROR(VLOOKUP(B41,'COMPARAÇÃO DE PREÇOS'!A:E,4,FALSE),"")</f>
        <v>22</v>
      </c>
      <c r="G41" s="11">
        <f t="shared" si="1"/>
        <v>0.408</v>
      </c>
      <c r="H41" s="11">
        <f t="shared" si="2"/>
        <v>0.408</v>
      </c>
      <c r="I41" s="11">
        <f t="shared" si="3"/>
        <v>0.3709090909</v>
      </c>
      <c r="L41" s="12"/>
      <c r="M41" s="12"/>
      <c r="N41" s="12"/>
      <c r="O41" s="12"/>
    </row>
    <row r="42" ht="15.75" customHeight="1">
      <c r="A42" s="6" t="s">
        <v>21</v>
      </c>
      <c r="B42" s="6" t="s">
        <v>52</v>
      </c>
      <c r="C42" s="7">
        <f>IFERROR(VLOOKUP(B42,'COMPARAÇÃO DE PREÇOS'!A:E,2,FALSE),"")</f>
        <v>8.1672</v>
      </c>
      <c r="D42" s="7">
        <f>IFERROR(VLOOKUP(B42,'COMPARAÇÃO DE PREÇOS'!A:E,3,FALSE),"")</f>
        <v>20</v>
      </c>
      <c r="E42" s="7">
        <f>IFERROR(VLOOKUP(B42,'COMPARAÇÃO DE PREÇOS'!A:E,5,FALSE),"")</f>
        <v>20</v>
      </c>
      <c r="F42" s="7">
        <f>IFERROR(VLOOKUP(B42,'COMPARAÇÃO DE PREÇOS'!A:E,4,FALSE),"")</f>
        <v>22</v>
      </c>
      <c r="G42" s="8">
        <f t="shared" si="1"/>
        <v>0.40836</v>
      </c>
      <c r="H42" s="8">
        <f t="shared" si="2"/>
        <v>0.40836</v>
      </c>
      <c r="I42" s="8">
        <f t="shared" si="3"/>
        <v>0.3712363636</v>
      </c>
      <c r="L42" s="12"/>
      <c r="M42" s="12"/>
      <c r="N42" s="12"/>
      <c r="O42" s="12"/>
    </row>
    <row r="43" ht="15.75" customHeight="1">
      <c r="A43" s="9" t="s">
        <v>25</v>
      </c>
      <c r="B43" s="9" t="s">
        <v>53</v>
      </c>
      <c r="C43" s="10">
        <f>IFERROR(VLOOKUP(B43,'COMPARAÇÃO DE PREÇOS'!A:E,2,FALSE),"")</f>
        <v>6.5</v>
      </c>
      <c r="D43" s="10">
        <f>IFERROR(VLOOKUP(B43,'COMPARAÇÃO DE PREÇOS'!A:E,3,FALSE),"")</f>
        <v>14</v>
      </c>
      <c r="E43" s="10">
        <f>IFERROR(VLOOKUP(B43,'COMPARAÇÃO DE PREÇOS'!A:E,5,FALSE),"")</f>
        <v>14</v>
      </c>
      <c r="F43" s="10">
        <f>IFERROR(VLOOKUP(B43,'COMPARAÇÃO DE PREÇOS'!A:E,4,FALSE),"")</f>
        <v>16</v>
      </c>
      <c r="G43" s="11">
        <f t="shared" si="1"/>
        <v>0.4642857143</v>
      </c>
      <c r="H43" s="11">
        <f t="shared" si="2"/>
        <v>0.4642857143</v>
      </c>
      <c r="I43" s="11">
        <f t="shared" si="3"/>
        <v>0.40625</v>
      </c>
      <c r="L43" s="12"/>
      <c r="M43" s="12"/>
      <c r="N43" s="12"/>
      <c r="O43" s="12"/>
    </row>
    <row r="44" ht="15.75" customHeight="1">
      <c r="A44" s="6" t="s">
        <v>21</v>
      </c>
      <c r="B44" s="6" t="s">
        <v>54</v>
      </c>
      <c r="C44" s="7">
        <f>IFERROR(VLOOKUP(B44,'COMPARAÇÃO DE PREÇOS'!A:E,2,FALSE),"")</f>
        <v>2.583333333</v>
      </c>
      <c r="D44" s="7">
        <f>IFERROR(VLOOKUP(B44,'COMPARAÇÃO DE PREÇOS'!A:E,3,FALSE),"")</f>
        <v>5</v>
      </c>
      <c r="E44" s="7">
        <f>IFERROR(VLOOKUP(B44,'COMPARAÇÃO DE PREÇOS'!A:E,5,FALSE),"")</f>
        <v>5</v>
      </c>
      <c r="F44" s="7" t="str">
        <f>IFERROR(VLOOKUP(B44,'COMPARAÇÃO DE PREÇOS'!A:E,4,FALSE),"")</f>
        <v/>
      </c>
      <c r="G44" s="8">
        <f t="shared" si="1"/>
        <v>0.5166666667</v>
      </c>
      <c r="H44" s="8">
        <f t="shared" si="2"/>
        <v>0.5166666667</v>
      </c>
      <c r="I44" s="8" t="str">
        <f t="shared" si="3"/>
        <v/>
      </c>
      <c r="L44" s="12"/>
      <c r="M44" s="12"/>
      <c r="N44" s="12"/>
      <c r="O44" s="12"/>
    </row>
    <row r="45" ht="15.75" customHeight="1">
      <c r="A45" s="9" t="s">
        <v>21</v>
      </c>
      <c r="B45" s="9" t="s">
        <v>55</v>
      </c>
      <c r="C45" s="10">
        <f>IFERROR(VLOOKUP(B45,'COMPARAÇÃO DE PREÇOS'!A:E,2,FALSE),"")</f>
        <v>2.6075</v>
      </c>
      <c r="D45" s="10">
        <f>IFERROR(VLOOKUP(B45,'COMPARAÇÃO DE PREÇOS'!A:E,3,FALSE),"")</f>
        <v>5</v>
      </c>
      <c r="E45" s="10">
        <f>IFERROR(VLOOKUP(B45,'COMPARAÇÃO DE PREÇOS'!A:E,5,FALSE),"")</f>
        <v>5</v>
      </c>
      <c r="F45" s="10" t="str">
        <f>IFERROR(VLOOKUP(B45,'COMPARAÇÃO DE PREÇOS'!A:E,4,FALSE),"")</f>
        <v/>
      </c>
      <c r="G45" s="11">
        <f t="shared" si="1"/>
        <v>0.5215</v>
      </c>
      <c r="H45" s="11">
        <f t="shared" si="2"/>
        <v>0.5215</v>
      </c>
      <c r="I45" s="11" t="str">
        <f t="shared" si="3"/>
        <v/>
      </c>
      <c r="L45" s="12"/>
      <c r="M45" s="12"/>
      <c r="N45" s="12"/>
      <c r="O45" s="12"/>
    </row>
    <row r="46" ht="15.75" customHeight="1">
      <c r="A46" s="6" t="s">
        <v>10</v>
      </c>
      <c r="B46" s="6" t="s">
        <v>56</v>
      </c>
      <c r="C46" s="7">
        <f>IFERROR(VLOOKUP(B46,'COMPARAÇÃO DE PREÇOS'!A:E,2,FALSE),"")</f>
        <v>11.97708611</v>
      </c>
      <c r="D46" s="7">
        <f>IFERROR(VLOOKUP(B46,'COMPARAÇÃO DE PREÇOS'!A:E,3,FALSE),"")</f>
        <v>43</v>
      </c>
      <c r="E46" s="7">
        <f>IFERROR(VLOOKUP(B46,'COMPARAÇÃO DE PREÇOS'!A:E,5,FALSE),"")</f>
        <v>43</v>
      </c>
      <c r="F46" s="7">
        <f>IFERROR(VLOOKUP(B46,'COMPARAÇÃO DE PREÇOS'!A:E,4,FALSE),"")</f>
        <v>51.9</v>
      </c>
      <c r="G46" s="8">
        <f t="shared" si="1"/>
        <v>0.2785368862</v>
      </c>
      <c r="H46" s="8">
        <f t="shared" si="2"/>
        <v>0.2785368862</v>
      </c>
      <c r="I46" s="8">
        <f t="shared" si="3"/>
        <v>0.230772372</v>
      </c>
      <c r="L46" s="12"/>
      <c r="M46" s="12"/>
      <c r="N46" s="12"/>
      <c r="O46" s="12"/>
    </row>
    <row r="47" ht="15.75" customHeight="1">
      <c r="A47" s="9" t="s">
        <v>21</v>
      </c>
      <c r="B47" s="9" t="s">
        <v>57</v>
      </c>
      <c r="C47" s="10" t="str">
        <f>IFERROR(VLOOKUP(B47,'COMPARAÇÃO DE PREÇOS'!A:E,2,FALSE),"")</f>
        <v/>
      </c>
      <c r="D47" s="10" t="str">
        <f>IFERROR(VLOOKUP(B47,'COMPARAÇÃO DE PREÇOS'!A:E,3,FALSE),"")</f>
        <v/>
      </c>
      <c r="E47" s="10" t="str">
        <f>IFERROR(VLOOKUP(B47,'COMPARAÇÃO DE PREÇOS'!A:E,5,FALSE),"")</f>
        <v/>
      </c>
      <c r="F47" s="10" t="str">
        <f>IFERROR(VLOOKUP(B47,'COMPARAÇÃO DE PREÇOS'!A:E,4,FALSE),"")</f>
        <v/>
      </c>
      <c r="G47" s="11" t="str">
        <f t="shared" si="1"/>
        <v/>
      </c>
      <c r="H47" s="11" t="str">
        <f t="shared" si="2"/>
        <v/>
      </c>
      <c r="I47" s="11" t="str">
        <f t="shared" si="3"/>
        <v/>
      </c>
      <c r="L47" s="12"/>
      <c r="M47" s="12"/>
      <c r="N47" s="12"/>
      <c r="O47" s="12"/>
    </row>
    <row r="48" ht="15.75" customHeight="1">
      <c r="A48" s="6" t="s">
        <v>21</v>
      </c>
      <c r="B48" s="6" t="s">
        <v>58</v>
      </c>
      <c r="C48" s="7">
        <f>IFERROR(VLOOKUP(B48,'COMPARAÇÃO DE PREÇOS'!A:E,2,FALSE),"")</f>
        <v>1.2525</v>
      </c>
      <c r="D48" s="7" t="str">
        <f>IFERROR(VLOOKUP(B48,'COMPARAÇÃO DE PREÇOS'!A:E,3,FALSE),"")</f>
        <v/>
      </c>
      <c r="E48" s="7">
        <f>IFERROR(VLOOKUP(B48,'COMPARAÇÃO DE PREÇOS'!A:E,5,FALSE),"")</f>
        <v>4.5</v>
      </c>
      <c r="F48" s="7" t="str">
        <f>IFERROR(VLOOKUP(B48,'COMPARAÇÃO DE PREÇOS'!A:E,4,FALSE),"")</f>
        <v/>
      </c>
      <c r="G48" s="8" t="str">
        <f t="shared" si="1"/>
        <v/>
      </c>
      <c r="H48" s="8">
        <f t="shared" si="2"/>
        <v>0.2783333333</v>
      </c>
      <c r="I48" s="8" t="str">
        <f t="shared" si="3"/>
        <v/>
      </c>
      <c r="L48" s="12"/>
      <c r="M48" s="12"/>
      <c r="N48" s="12"/>
      <c r="O48" s="12"/>
    </row>
    <row r="49" ht="15.75" customHeight="1">
      <c r="A49" s="9" t="s">
        <v>21</v>
      </c>
      <c r="B49" s="9" t="s">
        <v>59</v>
      </c>
      <c r="C49" s="10">
        <f>IFERROR(VLOOKUP(B49,'COMPARAÇÃO DE PREÇOS'!A:E,2,FALSE),"")</f>
        <v>1.254166667</v>
      </c>
      <c r="D49" s="10" t="str">
        <f>IFERROR(VLOOKUP(B49,'COMPARAÇÃO DE PREÇOS'!A:E,3,FALSE),"")</f>
        <v/>
      </c>
      <c r="E49" s="10">
        <f>IFERROR(VLOOKUP(B49,'COMPARAÇÃO DE PREÇOS'!A:E,5,FALSE),"")</f>
        <v>4.5</v>
      </c>
      <c r="F49" s="10" t="str">
        <f>IFERROR(VLOOKUP(B49,'COMPARAÇÃO DE PREÇOS'!A:E,4,FALSE),"")</f>
        <v/>
      </c>
      <c r="G49" s="11" t="str">
        <f t="shared" si="1"/>
        <v/>
      </c>
      <c r="H49" s="11">
        <f t="shared" si="2"/>
        <v>0.2787037037</v>
      </c>
      <c r="I49" s="11" t="str">
        <f t="shared" si="3"/>
        <v/>
      </c>
      <c r="L49" s="12"/>
      <c r="M49" s="12"/>
      <c r="N49" s="12"/>
      <c r="O49" s="12"/>
    </row>
    <row r="50" ht="15.75" customHeight="1">
      <c r="A50" s="6" t="s">
        <v>21</v>
      </c>
      <c r="B50" s="6" t="s">
        <v>60</v>
      </c>
      <c r="C50" s="7">
        <f>IFERROR(VLOOKUP(B50,'COMPARAÇÃO DE PREÇOS'!A:E,2,FALSE),"")</f>
        <v>2.35</v>
      </c>
      <c r="D50" s="7" t="str">
        <f>IFERROR(VLOOKUP(B50,'COMPARAÇÃO DE PREÇOS'!A:E,3,FALSE),"")</f>
        <v/>
      </c>
      <c r="E50" s="7">
        <f>IFERROR(VLOOKUP(B50,'COMPARAÇÃO DE PREÇOS'!A:E,5,FALSE),"")</f>
        <v>6</v>
      </c>
      <c r="F50" s="7" t="str">
        <f>IFERROR(VLOOKUP(B50,'COMPARAÇÃO DE PREÇOS'!A:E,4,FALSE),"")</f>
        <v/>
      </c>
      <c r="G50" s="8" t="str">
        <f t="shared" si="1"/>
        <v/>
      </c>
      <c r="H50" s="8">
        <f t="shared" si="2"/>
        <v>0.3916666667</v>
      </c>
      <c r="I50" s="8" t="str">
        <f t="shared" si="3"/>
        <v/>
      </c>
      <c r="L50" s="12"/>
      <c r="M50" s="12"/>
      <c r="N50" s="12"/>
      <c r="O50" s="12"/>
    </row>
    <row r="51" ht="15.75" customHeight="1">
      <c r="A51" s="9" t="s">
        <v>21</v>
      </c>
      <c r="B51" s="9" t="s">
        <v>61</v>
      </c>
      <c r="C51" s="10">
        <f>IFERROR(VLOOKUP(B51,'COMPARAÇÃO DE PREÇOS'!A:E,2,FALSE),"")</f>
        <v>2.35</v>
      </c>
      <c r="D51" s="10" t="str">
        <f>IFERROR(VLOOKUP(B51,'COMPARAÇÃO DE PREÇOS'!A:E,3,FALSE),"")</f>
        <v/>
      </c>
      <c r="E51" s="10">
        <f>IFERROR(VLOOKUP(B51,'COMPARAÇÃO DE PREÇOS'!A:E,5,FALSE),"")</f>
        <v>6</v>
      </c>
      <c r="F51" s="10" t="str">
        <f>IFERROR(VLOOKUP(B51,'COMPARAÇÃO DE PREÇOS'!A:E,4,FALSE),"")</f>
        <v/>
      </c>
      <c r="G51" s="11" t="str">
        <f t="shared" si="1"/>
        <v/>
      </c>
      <c r="H51" s="11">
        <f t="shared" si="2"/>
        <v>0.3916666667</v>
      </c>
      <c r="I51" s="11" t="str">
        <f t="shared" si="3"/>
        <v/>
      </c>
      <c r="L51" s="12"/>
      <c r="M51" s="12"/>
      <c r="N51" s="12"/>
      <c r="O51" s="12"/>
    </row>
    <row r="52" ht="15.75" customHeight="1">
      <c r="A52" s="6" t="s">
        <v>21</v>
      </c>
      <c r="B52" s="6" t="s">
        <v>62</v>
      </c>
      <c r="C52" s="7">
        <f>IFERROR(VLOOKUP(B52,'COMPARAÇÃO DE PREÇOS'!A:E,2,FALSE),"")</f>
        <v>2.570833333</v>
      </c>
      <c r="D52" s="7" t="str">
        <f>IFERROR(VLOOKUP(B52,'COMPARAÇÃO DE PREÇOS'!A:E,3,FALSE),"")</f>
        <v/>
      </c>
      <c r="E52" s="7">
        <f>IFERROR(VLOOKUP(B52,'COMPARAÇÃO DE PREÇOS'!A:E,5,FALSE),"")</f>
        <v>8</v>
      </c>
      <c r="F52" s="7" t="str">
        <f>IFERROR(VLOOKUP(B52,'COMPARAÇÃO DE PREÇOS'!A:E,4,FALSE),"")</f>
        <v/>
      </c>
      <c r="G52" s="8" t="str">
        <f t="shared" si="1"/>
        <v/>
      </c>
      <c r="H52" s="8">
        <f t="shared" si="2"/>
        <v>0.3213541667</v>
      </c>
      <c r="I52" s="8" t="str">
        <f t="shared" si="3"/>
        <v/>
      </c>
      <c r="L52" s="12"/>
      <c r="M52" s="12"/>
      <c r="N52" s="12"/>
      <c r="O52" s="12"/>
    </row>
    <row r="53" ht="15.75" customHeight="1">
      <c r="A53" s="9" t="s">
        <v>21</v>
      </c>
      <c r="B53" s="9" t="s">
        <v>63</v>
      </c>
      <c r="C53" s="10">
        <f>IFERROR(VLOOKUP(B53,'COMPARAÇÃO DE PREÇOS'!A:E,2,FALSE),"")</f>
        <v>2.6075</v>
      </c>
      <c r="D53" s="10" t="str">
        <f>IFERROR(VLOOKUP(B53,'COMPARAÇÃO DE PREÇOS'!A:E,3,FALSE),"")</f>
        <v/>
      </c>
      <c r="E53" s="10">
        <f>IFERROR(VLOOKUP(B53,'COMPARAÇÃO DE PREÇOS'!A:E,5,FALSE),"")</f>
        <v>12</v>
      </c>
      <c r="F53" s="10">
        <f>IFERROR(VLOOKUP(B53,'COMPARAÇÃO DE PREÇOS'!A:E,4,FALSE),"")</f>
        <v>12.9</v>
      </c>
      <c r="G53" s="11" t="str">
        <f t="shared" si="1"/>
        <v/>
      </c>
      <c r="H53" s="11">
        <f t="shared" si="2"/>
        <v>0.2172916667</v>
      </c>
      <c r="I53" s="11">
        <f t="shared" si="3"/>
        <v>0.2021317829</v>
      </c>
    </row>
    <row r="54" ht="15.75" customHeight="1">
      <c r="A54" s="6" t="s">
        <v>21</v>
      </c>
      <c r="B54" s="6" t="s">
        <v>64</v>
      </c>
      <c r="C54" s="7">
        <f>IFERROR(VLOOKUP(B54,'COMPARAÇÃO DE PREÇOS'!A:E,2,FALSE),"")</f>
        <v>0.05</v>
      </c>
      <c r="D54" s="7" t="str">
        <f>IFERROR(VLOOKUP(B54,'COMPARAÇÃO DE PREÇOS'!A:E,3,FALSE),"")</f>
        <v/>
      </c>
      <c r="E54" s="7">
        <f>IFERROR(VLOOKUP(B54,'COMPARAÇÃO DE PREÇOS'!A:E,5,FALSE),"")</f>
        <v>14</v>
      </c>
      <c r="F54" s="7" t="str">
        <f>IFERROR(VLOOKUP(B54,'COMPARAÇÃO DE PREÇOS'!A:E,4,FALSE),"")</f>
        <v/>
      </c>
      <c r="G54" s="8" t="str">
        <f t="shared" si="1"/>
        <v/>
      </c>
      <c r="H54" s="8">
        <f t="shared" si="2"/>
        <v>0.003571428571</v>
      </c>
      <c r="I54" s="8" t="str">
        <f t="shared" si="3"/>
        <v/>
      </c>
    </row>
    <row r="55" ht="15.75" customHeight="1">
      <c r="A55" s="9" t="s">
        <v>21</v>
      </c>
      <c r="B55" s="9" t="s">
        <v>65</v>
      </c>
      <c r="C55" s="10">
        <f>IFERROR(VLOOKUP(B55,'COMPARAÇÃO DE PREÇOS'!A:E,2,FALSE),"")</f>
        <v>5.800833333</v>
      </c>
      <c r="D55" s="10" t="str">
        <f>IFERROR(VLOOKUP(B55,'COMPARAÇÃO DE PREÇOS'!A:E,3,FALSE),"")</f>
        <v/>
      </c>
      <c r="E55" s="10">
        <f>IFERROR(VLOOKUP(B55,'COMPARAÇÃO DE PREÇOS'!A:E,5,FALSE),"")</f>
        <v>15</v>
      </c>
      <c r="F55" s="10" t="str">
        <f>IFERROR(VLOOKUP(B55,'COMPARAÇÃO DE PREÇOS'!A:E,4,FALSE),"")</f>
        <v/>
      </c>
      <c r="G55" s="11" t="str">
        <f t="shared" si="1"/>
        <v/>
      </c>
      <c r="H55" s="11">
        <f t="shared" si="2"/>
        <v>0.3867222222</v>
      </c>
      <c r="I55" s="11" t="str">
        <f t="shared" si="3"/>
        <v/>
      </c>
    </row>
    <row r="56" ht="15.75" customHeight="1">
      <c r="A56" s="6" t="s">
        <v>21</v>
      </c>
      <c r="B56" s="6" t="s">
        <v>66</v>
      </c>
      <c r="C56" s="7">
        <f>IFERROR(VLOOKUP(B56,'COMPARAÇÃO DE PREÇOS'!A:E,2,FALSE),"")</f>
        <v>7.323333333</v>
      </c>
      <c r="D56" s="7" t="str">
        <f>IFERROR(VLOOKUP(B56,'COMPARAÇÃO DE PREÇOS'!A:E,3,FALSE),"")</f>
        <v/>
      </c>
      <c r="E56" s="7">
        <f>IFERROR(VLOOKUP(B56,'COMPARAÇÃO DE PREÇOS'!A:E,5,FALSE),"")</f>
        <v>16</v>
      </c>
      <c r="F56" s="7" t="str">
        <f>IFERROR(VLOOKUP(B56,'COMPARAÇÃO DE PREÇOS'!A:E,4,FALSE),"")</f>
        <v/>
      </c>
      <c r="G56" s="8" t="str">
        <f t="shared" si="1"/>
        <v/>
      </c>
      <c r="H56" s="8">
        <f t="shared" si="2"/>
        <v>0.4577083333</v>
      </c>
      <c r="I56" s="8" t="str">
        <f t="shared" si="3"/>
        <v/>
      </c>
    </row>
    <row r="57" ht="15.75" customHeight="1">
      <c r="A57" s="9" t="s">
        <v>25</v>
      </c>
      <c r="B57" s="9" t="s">
        <v>67</v>
      </c>
      <c r="C57" s="10">
        <f>IFERROR(VLOOKUP(B57,'COMPARAÇÃO DE PREÇOS'!A:E,2,FALSE),"")</f>
        <v>10.62</v>
      </c>
      <c r="D57" s="10" t="str">
        <f>IFERROR(VLOOKUP(B57,'COMPARAÇÃO DE PREÇOS'!A:E,3,FALSE),"")</f>
        <v/>
      </c>
      <c r="E57" s="10">
        <f>IFERROR(VLOOKUP(B57,'COMPARAÇÃO DE PREÇOS'!A:E,5,FALSE),"")</f>
        <v>32</v>
      </c>
      <c r="F57" s="10" t="str">
        <f>IFERROR(VLOOKUP(B57,'COMPARAÇÃO DE PREÇOS'!A:E,4,FALSE),"")</f>
        <v/>
      </c>
      <c r="G57" s="11" t="str">
        <f t="shared" si="1"/>
        <v/>
      </c>
      <c r="H57" s="11">
        <f t="shared" si="2"/>
        <v>0.331875</v>
      </c>
      <c r="I57" s="11" t="str">
        <f t="shared" si="3"/>
        <v/>
      </c>
    </row>
    <row r="58" ht="15.75" customHeight="1">
      <c r="A58" s="6" t="s">
        <v>25</v>
      </c>
      <c r="B58" s="6" t="s">
        <v>68</v>
      </c>
      <c r="C58" s="7">
        <f>IFERROR(VLOOKUP(B58,'COMPARAÇÃO DE PREÇOS'!A:E,2,FALSE),"")</f>
        <v>7.0956</v>
      </c>
      <c r="D58" s="7" t="str">
        <f>IFERROR(VLOOKUP(B58,'COMPARAÇÃO DE PREÇOS'!A:E,3,FALSE),"")</f>
        <v/>
      </c>
      <c r="E58" s="7">
        <f>IFERROR(VLOOKUP(B58,'COMPARAÇÃO DE PREÇOS'!A:E,5,FALSE),"")</f>
        <v>32</v>
      </c>
      <c r="F58" s="7" t="str">
        <f>IFERROR(VLOOKUP(B58,'COMPARAÇÃO DE PREÇOS'!A:E,4,FALSE),"")</f>
        <v/>
      </c>
      <c r="G58" s="8" t="str">
        <f t="shared" si="1"/>
        <v/>
      </c>
      <c r="H58" s="8">
        <f t="shared" si="2"/>
        <v>0.2217375</v>
      </c>
      <c r="I58" s="8" t="str">
        <f t="shared" si="3"/>
        <v/>
      </c>
    </row>
    <row r="59" ht="15.75" customHeight="1">
      <c r="A59" s="9" t="s">
        <v>25</v>
      </c>
      <c r="B59" s="9" t="s">
        <v>69</v>
      </c>
      <c r="C59" s="10">
        <f>IFERROR(VLOOKUP(B59,'COMPARAÇÃO DE PREÇOS'!A:E,2,FALSE),"")</f>
        <v>13.22</v>
      </c>
      <c r="D59" s="10" t="str">
        <f>IFERROR(VLOOKUP(B59,'COMPARAÇÃO DE PREÇOS'!A:E,3,FALSE),"")</f>
        <v/>
      </c>
      <c r="E59" s="10">
        <f>IFERROR(VLOOKUP(B59,'COMPARAÇÃO DE PREÇOS'!A:E,5,FALSE),"")</f>
        <v>32</v>
      </c>
      <c r="F59" s="10" t="str">
        <f>IFERROR(VLOOKUP(B59,'COMPARAÇÃO DE PREÇOS'!A:E,4,FALSE),"")</f>
        <v/>
      </c>
      <c r="G59" s="11" t="str">
        <f t="shared" si="1"/>
        <v/>
      </c>
      <c r="H59" s="11">
        <f t="shared" si="2"/>
        <v>0.413125</v>
      </c>
      <c r="I59" s="11" t="str">
        <f t="shared" si="3"/>
        <v/>
      </c>
    </row>
    <row r="60" ht="15.75" customHeight="1">
      <c r="A60" s="6" t="s">
        <v>25</v>
      </c>
      <c r="B60" s="6" t="s">
        <v>70</v>
      </c>
      <c r="C60" s="7">
        <f>IFERROR(VLOOKUP(B60,'COMPARAÇÃO DE PREÇOS'!A:E,2,FALSE),"")</f>
        <v>14.7378</v>
      </c>
      <c r="D60" s="7" t="str">
        <f>IFERROR(VLOOKUP(B60,'COMPARAÇÃO DE PREÇOS'!A:E,3,FALSE),"")</f>
        <v/>
      </c>
      <c r="E60" s="7">
        <f>IFERROR(VLOOKUP(B60,'COMPARAÇÃO DE PREÇOS'!A:E,5,FALSE),"")</f>
        <v>25</v>
      </c>
      <c r="F60" s="7" t="str">
        <f>IFERROR(VLOOKUP(B60,'COMPARAÇÃO DE PREÇOS'!A:E,4,FALSE),"")</f>
        <v/>
      </c>
      <c r="G60" s="8" t="str">
        <f t="shared" si="1"/>
        <v/>
      </c>
      <c r="H60" s="8">
        <f t="shared" si="2"/>
        <v>0.589512</v>
      </c>
      <c r="I60" s="8" t="str">
        <f t="shared" si="3"/>
        <v/>
      </c>
    </row>
    <row r="61" ht="15.75" customHeight="1">
      <c r="A61" s="9" t="s">
        <v>25</v>
      </c>
      <c r="B61" s="9" t="s">
        <v>71</v>
      </c>
      <c r="C61" s="10">
        <f>IFERROR(VLOOKUP(B61,'COMPARAÇÃO DE PREÇOS'!A:E,2,FALSE),"")</f>
        <v>6.5</v>
      </c>
      <c r="D61" s="10" t="str">
        <f>IFERROR(VLOOKUP(B61,'COMPARAÇÃO DE PREÇOS'!A:E,3,FALSE),"")</f>
        <v/>
      </c>
      <c r="E61" s="10">
        <f>IFERROR(VLOOKUP(B61,'COMPARAÇÃO DE PREÇOS'!A:E,5,FALSE),"")</f>
        <v>14</v>
      </c>
      <c r="F61" s="10">
        <f>IFERROR(VLOOKUP(B61,'COMPARAÇÃO DE PREÇOS'!A:E,4,FALSE),"")</f>
        <v>16</v>
      </c>
      <c r="G61" s="11" t="str">
        <f t="shared" si="1"/>
        <v/>
      </c>
      <c r="H61" s="11">
        <f t="shared" si="2"/>
        <v>0.4642857143</v>
      </c>
      <c r="I61" s="11">
        <f t="shared" si="3"/>
        <v>0.40625</v>
      </c>
    </row>
    <row r="62" ht="15.75" customHeight="1">
      <c r="A62" s="6" t="s">
        <v>72</v>
      </c>
      <c r="B62" s="6" t="s">
        <v>73</v>
      </c>
      <c r="C62" s="7">
        <f>IFERROR(VLOOKUP(B62,'COMPARAÇÃO DE PREÇOS'!A:E,2,FALSE),"")</f>
        <v>7.886018151</v>
      </c>
      <c r="D62" s="7">
        <f>IFERROR(VLOOKUP(B62,'COMPARAÇÃO DE PREÇOS'!A:E,3,FALSE),"")</f>
        <v>35.5</v>
      </c>
      <c r="E62" s="7">
        <f>IFERROR(VLOOKUP(B62,'COMPARAÇÃO DE PREÇOS'!A:E,5,FALSE),"")</f>
        <v>39</v>
      </c>
      <c r="F62" s="7" t="str">
        <f>IFERROR(VLOOKUP(B62,'COMPARAÇÃO DE PREÇOS'!A:E,4,FALSE),"")</f>
        <v/>
      </c>
      <c r="G62" s="8">
        <f t="shared" si="1"/>
        <v>0.2221413564</v>
      </c>
      <c r="H62" s="8">
        <f t="shared" si="2"/>
        <v>0.2022055936</v>
      </c>
      <c r="I62" s="8" t="str">
        <f t="shared" si="3"/>
        <v/>
      </c>
    </row>
    <row r="63" ht="15.75" customHeight="1">
      <c r="A63" s="9" t="s">
        <v>72</v>
      </c>
      <c r="B63" s="9" t="s">
        <v>74</v>
      </c>
      <c r="C63" s="10">
        <f>IFERROR(VLOOKUP(B63,'COMPARAÇÃO DE PREÇOS'!A:E,2,FALSE),"")</f>
        <v>8.187414204</v>
      </c>
      <c r="D63" s="10">
        <f>IFERROR(VLOOKUP(B63,'COMPARAÇÃO DE PREÇOS'!A:E,3,FALSE),"")</f>
        <v>55</v>
      </c>
      <c r="E63" s="10" t="str">
        <f>IFERROR(VLOOKUP(B63,'COMPARAÇÃO DE PREÇOS'!A:E,5,FALSE),"")</f>
        <v/>
      </c>
      <c r="F63" s="10" t="str">
        <f>IFERROR(VLOOKUP(B63,'COMPARAÇÃO DE PREÇOS'!A:E,4,FALSE),"")</f>
        <v/>
      </c>
      <c r="G63" s="11">
        <f t="shared" si="1"/>
        <v>0.1488620764</v>
      </c>
      <c r="H63" s="11" t="str">
        <f t="shared" si="2"/>
        <v/>
      </c>
      <c r="I63" s="11" t="str">
        <f t="shared" si="3"/>
        <v/>
      </c>
    </row>
    <row r="64" ht="15.75" customHeight="1">
      <c r="A64" s="6" t="s">
        <v>72</v>
      </c>
      <c r="B64" s="6" t="s">
        <v>75</v>
      </c>
      <c r="C64" s="7">
        <f>IFERROR(VLOOKUP(B64,'COMPARAÇÃO DE PREÇOS'!A:E,2,FALSE),"")</f>
        <v>20.33973856</v>
      </c>
      <c r="D64" s="7">
        <f>IFERROR(VLOOKUP(B64,'COMPARAÇÃO DE PREÇOS'!A:E,3,FALSE),"")</f>
        <v>79.9</v>
      </c>
      <c r="E64" s="7">
        <f>IFERROR(VLOOKUP(B64,'COMPARAÇÃO DE PREÇOS'!A:E,5,FALSE),"")</f>
        <v>78</v>
      </c>
      <c r="F64" s="7">
        <f>IFERROR(VLOOKUP(B64,'COMPARAÇÃO DE PREÇOS'!A:E,4,FALSE),"")</f>
        <v>101.7</v>
      </c>
      <c r="G64" s="8">
        <f t="shared" si="1"/>
        <v>0.2545649381</v>
      </c>
      <c r="H64" s="8">
        <f t="shared" si="2"/>
        <v>0.2607658789</v>
      </c>
      <c r="I64" s="8">
        <f t="shared" si="3"/>
        <v>0.1999974293</v>
      </c>
    </row>
    <row r="65" ht="15.75" customHeight="1">
      <c r="A65" s="9" t="s">
        <v>72</v>
      </c>
      <c r="B65" s="9" t="s">
        <v>76</v>
      </c>
      <c r="C65" s="10">
        <f>IFERROR(VLOOKUP(B65,'COMPARAÇÃO DE PREÇOS'!A:E,2,FALSE),"")</f>
        <v>15.15492891</v>
      </c>
      <c r="D65" s="10">
        <f>IFERROR(VLOOKUP(B65,'COMPARAÇÃO DE PREÇOS'!A:E,3,FALSE),"")</f>
        <v>63</v>
      </c>
      <c r="E65" s="10">
        <f>IFERROR(VLOOKUP(B65,'COMPARAÇÃO DE PREÇOS'!A:E,5,FALSE),"")</f>
        <v>63</v>
      </c>
      <c r="F65" s="10">
        <f>IFERROR(VLOOKUP(B65,'COMPARAÇÃO DE PREÇOS'!A:E,4,FALSE),"")</f>
        <v>80.7</v>
      </c>
      <c r="G65" s="11">
        <f t="shared" si="1"/>
        <v>0.2405544271</v>
      </c>
      <c r="H65" s="11">
        <f t="shared" si="2"/>
        <v>0.2405544271</v>
      </c>
      <c r="I65" s="11">
        <f t="shared" si="3"/>
        <v>0.1877934189</v>
      </c>
    </row>
    <row r="66" ht="15.75" customHeight="1">
      <c r="A66" s="6" t="s">
        <v>72</v>
      </c>
      <c r="B66" s="6" t="s">
        <v>77</v>
      </c>
      <c r="C66" s="7">
        <f>IFERROR(VLOOKUP(B66,'COMPARAÇÃO DE PREÇOS'!A:E,2,FALSE),"")</f>
        <v>14.66936356</v>
      </c>
      <c r="D66" s="7">
        <f>IFERROR(VLOOKUP(B66,'COMPARAÇÃO DE PREÇOS'!A:E,3,FALSE),"")</f>
        <v>59</v>
      </c>
      <c r="E66" s="7">
        <f>IFERROR(VLOOKUP(B66,'COMPARAÇÃO DE PREÇOS'!A:E,5,FALSE),"")</f>
        <v>59</v>
      </c>
      <c r="F66" s="7">
        <f>IFERROR(VLOOKUP(B66,'COMPARAÇÃO DE PREÇOS'!A:E,4,FALSE),"")</f>
        <v>78.9</v>
      </c>
      <c r="G66" s="8">
        <f t="shared" si="1"/>
        <v>0.2486332806</v>
      </c>
      <c r="H66" s="8">
        <f t="shared" si="2"/>
        <v>0.2486332806</v>
      </c>
      <c r="I66" s="8">
        <f t="shared" si="3"/>
        <v>0.1859234925</v>
      </c>
    </row>
    <row r="67" ht="15.75" customHeight="1">
      <c r="A67" s="9" t="s">
        <v>72</v>
      </c>
      <c r="B67" s="9" t="s">
        <v>78</v>
      </c>
      <c r="C67" s="10">
        <f>IFERROR(VLOOKUP(B67,'COMPARAÇÃO DE PREÇOS'!A:E,2,FALSE),"")</f>
        <v>14.32498356</v>
      </c>
      <c r="D67" s="10">
        <f>IFERROR(VLOOKUP(B67,'COMPARAÇÃO DE PREÇOS'!A:E,3,FALSE),"")</f>
        <v>58</v>
      </c>
      <c r="E67" s="10">
        <f>IFERROR(VLOOKUP(B67,'COMPARAÇÃO DE PREÇOS'!A:E,5,FALSE),"")</f>
        <v>58</v>
      </c>
      <c r="F67" s="10">
        <f>IFERROR(VLOOKUP(B67,'COMPARAÇÃO DE PREÇOS'!A:E,4,FALSE),"")</f>
        <v>88</v>
      </c>
      <c r="G67" s="11">
        <f t="shared" si="1"/>
        <v>0.2469824751</v>
      </c>
      <c r="H67" s="11">
        <f t="shared" si="2"/>
        <v>0.2469824751</v>
      </c>
      <c r="I67" s="11">
        <f t="shared" si="3"/>
        <v>0.1627839041</v>
      </c>
    </row>
    <row r="68" ht="15.75" customHeight="1">
      <c r="A68" s="6" t="s">
        <v>72</v>
      </c>
      <c r="B68" s="6" t="s">
        <v>79</v>
      </c>
      <c r="C68" s="7">
        <f>IFERROR(VLOOKUP(B68,'COMPARAÇÃO DE PREÇOS'!A:E,2,FALSE),"")</f>
        <v>11.41957815</v>
      </c>
      <c r="D68" s="7" t="str">
        <f>IFERROR(VLOOKUP(B68,'COMPARAÇÃO DE PREÇOS'!A:E,3,FALSE),"")</f>
        <v/>
      </c>
      <c r="E68" s="7">
        <f>IFERROR(VLOOKUP(B68,'COMPARAÇÃO DE PREÇOS'!A:E,5,FALSE),"")</f>
        <v>45</v>
      </c>
      <c r="F68" s="7" t="str">
        <f>IFERROR(VLOOKUP(B68,'COMPARAÇÃO DE PREÇOS'!A:E,4,FALSE),"")</f>
        <v/>
      </c>
      <c r="G68" s="8" t="str">
        <f t="shared" si="1"/>
        <v/>
      </c>
      <c r="H68" s="8">
        <f t="shared" si="2"/>
        <v>0.2537684034</v>
      </c>
      <c r="I68" s="8" t="str">
        <f t="shared" si="3"/>
        <v/>
      </c>
    </row>
    <row r="69" ht="15.75" customHeight="1">
      <c r="A69" s="9" t="s">
        <v>72</v>
      </c>
      <c r="B69" s="9" t="s">
        <v>80</v>
      </c>
      <c r="C69" s="10">
        <f>IFERROR(VLOOKUP(B69,'COMPARAÇÃO DE PREÇOS'!A:E,2,FALSE),"")</f>
        <v>15.79754356</v>
      </c>
      <c r="D69" s="10">
        <f>IFERROR(VLOOKUP(B69,'COMPARAÇÃO DE PREÇOS'!A:E,3,FALSE),"")</f>
        <v>59</v>
      </c>
      <c r="E69" s="10">
        <f>IFERROR(VLOOKUP(B69,'COMPARAÇÃO DE PREÇOS'!A:E,5,FALSE),"")</f>
        <v>59</v>
      </c>
      <c r="F69" s="10">
        <f>IFERROR(VLOOKUP(B69,'COMPARAÇÃO DE PREÇOS'!A:E,4,FALSE),"")</f>
        <v>86.9</v>
      </c>
      <c r="G69" s="11">
        <f t="shared" si="1"/>
        <v>0.2677549755</v>
      </c>
      <c r="H69" s="11">
        <f t="shared" si="2"/>
        <v>0.2677549755</v>
      </c>
      <c r="I69" s="11">
        <f t="shared" si="3"/>
        <v>0.1817899143</v>
      </c>
    </row>
    <row r="70" ht="15.75" customHeight="1">
      <c r="A70" s="6" t="s">
        <v>72</v>
      </c>
      <c r="B70" s="6" t="s">
        <v>81</v>
      </c>
      <c r="C70" s="7">
        <f>IFERROR(VLOOKUP(B70,'COMPARAÇÃO DE PREÇOS'!A:E,2,FALSE),"")</f>
        <v>15.2493938</v>
      </c>
      <c r="D70" s="7">
        <f>IFERROR(VLOOKUP(B70,'COMPARAÇÃO DE PREÇOS'!A:E,3,FALSE),"")</f>
        <v>63</v>
      </c>
      <c r="E70" s="7">
        <f>IFERROR(VLOOKUP(B70,'COMPARAÇÃO DE PREÇOS'!A:E,5,FALSE),"")</f>
        <v>63</v>
      </c>
      <c r="F70" s="7">
        <f>IFERROR(VLOOKUP(B70,'COMPARAÇÃO DE PREÇOS'!A:E,4,FALSE),"")</f>
        <v>78.9</v>
      </c>
      <c r="G70" s="8">
        <f t="shared" si="1"/>
        <v>0.2420538698</v>
      </c>
      <c r="H70" s="8">
        <f t="shared" si="2"/>
        <v>0.2420538698</v>
      </c>
      <c r="I70" s="8">
        <f t="shared" si="3"/>
        <v>0.1932749531</v>
      </c>
    </row>
    <row r="71" ht="15.75" customHeight="1">
      <c r="A71" s="9" t="s">
        <v>72</v>
      </c>
      <c r="B71" s="9" t="s">
        <v>82</v>
      </c>
      <c r="C71" s="10">
        <f>IFERROR(VLOOKUP(B71,'COMPARAÇÃO DE PREÇOS'!A:E,2,FALSE),"")</f>
        <v>12.21757769</v>
      </c>
      <c r="D71" s="10">
        <f>IFERROR(VLOOKUP(B71,'COMPARAÇÃO DE PREÇOS'!A:E,3,FALSE),"")</f>
        <v>63</v>
      </c>
      <c r="E71" s="10">
        <f>IFERROR(VLOOKUP(B71,'COMPARAÇÃO DE PREÇOS'!A:E,5,FALSE),"")</f>
        <v>63</v>
      </c>
      <c r="F71" s="10">
        <f>IFERROR(VLOOKUP(B71,'COMPARAÇÃO DE PREÇOS'!A:E,4,FALSE),"")</f>
        <v>78.9</v>
      </c>
      <c r="G71" s="11">
        <f t="shared" si="1"/>
        <v>0.1939298046</v>
      </c>
      <c r="H71" s="11">
        <f t="shared" si="2"/>
        <v>0.1939298046</v>
      </c>
      <c r="I71" s="11">
        <f t="shared" si="3"/>
        <v>0.1548488934</v>
      </c>
    </row>
    <row r="72" ht="15.75" customHeight="1">
      <c r="A72" s="13" t="s">
        <v>83</v>
      </c>
      <c r="B72" s="13" t="s">
        <v>84</v>
      </c>
      <c r="C72" s="7">
        <f>IFERROR(VLOOKUP(B72,'COMPARAÇÃO DE PREÇOS'!A:E,2,FALSE),"")</f>
        <v>1.0305</v>
      </c>
      <c r="D72" s="7">
        <f>IFERROR(VLOOKUP(B72,'COMPARAÇÃO DE PREÇOS'!A:E,3,FALSE),"")</f>
        <v>4</v>
      </c>
      <c r="E72" s="7">
        <f>IFERROR(VLOOKUP(B72,'COMPARAÇÃO DE PREÇOS'!A:E,5,FALSE),"")</f>
        <v>4</v>
      </c>
      <c r="F72" s="7">
        <f>IFERROR(VLOOKUP(B72,'COMPARAÇÃO DE PREÇOS'!A:E,4,FALSE),"")</f>
        <v>6</v>
      </c>
      <c r="G72" s="8">
        <f t="shared" si="1"/>
        <v>0.257625</v>
      </c>
      <c r="H72" s="8">
        <f t="shared" si="2"/>
        <v>0.257625</v>
      </c>
      <c r="I72" s="8">
        <f t="shared" si="3"/>
        <v>0.17175</v>
      </c>
    </row>
    <row r="73" ht="15.75" customHeight="1">
      <c r="A73" s="14" t="s">
        <v>83</v>
      </c>
      <c r="B73" s="15" t="s">
        <v>85</v>
      </c>
      <c r="C73" s="16">
        <f>IFERROR(VLOOKUP(B73,'COMPARAÇÃO DE PREÇOS'!A:E,2,FALSE),"")</f>
        <v>1.144375</v>
      </c>
      <c r="D73" s="16">
        <f>IFERROR(VLOOKUP(B73,'COMPARAÇÃO DE PREÇOS'!A:E,3,FALSE),"")</f>
        <v>4</v>
      </c>
      <c r="E73" s="16">
        <f>IFERROR(VLOOKUP(B73,'COMPARAÇÃO DE PREÇOS'!A:E,5,FALSE),"")</f>
        <v>4</v>
      </c>
      <c r="F73" s="16">
        <f>IFERROR(VLOOKUP(B73,'COMPARAÇÃO DE PREÇOS'!A:E,4,FALSE),"")</f>
        <v>5</v>
      </c>
      <c r="G73" s="17">
        <f t="shared" si="1"/>
        <v>0.28609375</v>
      </c>
      <c r="H73" s="17">
        <f t="shared" si="2"/>
        <v>0.28609375</v>
      </c>
      <c r="I73" s="17">
        <f t="shared" si="3"/>
        <v>0.228875</v>
      </c>
    </row>
    <row r="74" ht="15.75" customHeight="1">
      <c r="A74" s="14" t="s">
        <v>83</v>
      </c>
      <c r="B74" s="15" t="s">
        <v>86</v>
      </c>
      <c r="C74" s="16">
        <f>IFERROR(VLOOKUP(B74,'COMPARAÇÃO DE PREÇOS'!A:E,2,FALSE),"")</f>
        <v>2.905405405</v>
      </c>
      <c r="D74" s="16">
        <f>IFERROR(VLOOKUP(B74,'COMPARAÇÃO DE PREÇOS'!A:E,3,FALSE),"")</f>
        <v>6</v>
      </c>
      <c r="E74" s="16">
        <f>IFERROR(VLOOKUP(B74,'COMPARAÇÃO DE PREÇOS'!A:E,5,FALSE),"")</f>
        <v>6</v>
      </c>
      <c r="F74" s="16">
        <f>IFERROR(VLOOKUP(B74,'COMPARAÇÃO DE PREÇOS'!A:E,4,FALSE),"")</f>
        <v>9</v>
      </c>
      <c r="G74" s="17">
        <f t="shared" si="1"/>
        <v>0.4842342342</v>
      </c>
      <c r="H74" s="17">
        <f t="shared" si="2"/>
        <v>0.4842342342</v>
      </c>
      <c r="I74" s="17">
        <f t="shared" si="3"/>
        <v>0.3228228228</v>
      </c>
    </row>
    <row r="75" ht="15.75" customHeight="1">
      <c r="A75" s="14" t="s">
        <v>83</v>
      </c>
      <c r="B75" s="15" t="s">
        <v>87</v>
      </c>
      <c r="C75" s="16">
        <f>IFERROR(VLOOKUP(B75,'COMPARAÇÃO DE PREÇOS'!A:E,2,FALSE),"")</f>
        <v>1.188</v>
      </c>
      <c r="D75" s="16">
        <f>IFERROR(VLOOKUP(B75,'COMPARAÇÃO DE PREÇOS'!A:E,3,FALSE),"")</f>
        <v>7</v>
      </c>
      <c r="E75" s="16">
        <f>IFERROR(VLOOKUP(B75,'COMPARAÇÃO DE PREÇOS'!A:E,5,FALSE),"")</f>
        <v>7</v>
      </c>
      <c r="F75" s="16">
        <f>IFERROR(VLOOKUP(B75,'COMPARAÇÃO DE PREÇOS'!A:E,4,FALSE),"")</f>
        <v>9</v>
      </c>
      <c r="G75" s="17">
        <f t="shared" si="1"/>
        <v>0.1697142857</v>
      </c>
      <c r="H75" s="17">
        <f t="shared" si="2"/>
        <v>0.1697142857</v>
      </c>
      <c r="I75" s="17">
        <f t="shared" si="3"/>
        <v>0.132</v>
      </c>
    </row>
    <row r="76" ht="15.75" customHeight="1">
      <c r="A76" s="14" t="s">
        <v>83</v>
      </c>
      <c r="B76" s="15" t="s">
        <v>88</v>
      </c>
      <c r="C76" s="16">
        <f>IFERROR(VLOOKUP(B76,'COMPARAÇÃO DE PREÇOS'!A:E,2,FALSE),"")</f>
        <v>3.27164601</v>
      </c>
      <c r="D76" s="16">
        <f>IFERROR(VLOOKUP(B76,'COMPARAÇÃO DE PREÇOS'!A:E,3,FALSE),"")</f>
        <v>6</v>
      </c>
      <c r="E76" s="16">
        <f>IFERROR(VLOOKUP(B76,'COMPARAÇÃO DE PREÇOS'!A:E,5,FALSE),"")</f>
        <v>6</v>
      </c>
      <c r="F76" s="16">
        <f>IFERROR(VLOOKUP(B76,'COMPARAÇÃO DE PREÇOS'!A:E,4,FALSE),"")</f>
        <v>8</v>
      </c>
      <c r="G76" s="17">
        <f t="shared" si="1"/>
        <v>0.545274335</v>
      </c>
      <c r="H76" s="17">
        <f t="shared" si="2"/>
        <v>0.545274335</v>
      </c>
      <c r="I76" s="17">
        <f t="shared" si="3"/>
        <v>0.4089557512</v>
      </c>
    </row>
    <row r="77" ht="15.75" customHeight="1">
      <c r="A77" s="14" t="s">
        <v>83</v>
      </c>
      <c r="B77" s="15" t="s">
        <v>89</v>
      </c>
      <c r="C77" s="16">
        <f>IFERROR(VLOOKUP(B77,'COMPARAÇÃO DE PREÇOS'!A:E,2,FALSE),"")</f>
        <v>1.00772</v>
      </c>
      <c r="D77" s="16">
        <f>IFERROR(VLOOKUP(B77,'COMPARAÇÃO DE PREÇOS'!A:E,3,FALSE),"")</f>
        <v>5</v>
      </c>
      <c r="E77" s="16">
        <f>IFERROR(VLOOKUP(B77,'COMPARAÇÃO DE PREÇOS'!A:E,5,FALSE),"")</f>
        <v>5</v>
      </c>
      <c r="F77" s="16">
        <f>IFERROR(VLOOKUP(B77,'COMPARAÇÃO DE PREÇOS'!A:E,4,FALSE),"")</f>
        <v>6</v>
      </c>
      <c r="G77" s="17">
        <f t="shared" si="1"/>
        <v>0.201544</v>
      </c>
      <c r="H77" s="17">
        <f t="shared" si="2"/>
        <v>0.201544</v>
      </c>
      <c r="I77" s="17">
        <f t="shared" si="3"/>
        <v>0.1679533333</v>
      </c>
    </row>
    <row r="78" ht="15.75" customHeight="1">
      <c r="A78" s="14" t="s">
        <v>83</v>
      </c>
      <c r="B78" s="15" t="s">
        <v>90</v>
      </c>
      <c r="C78" s="16">
        <f>IFERROR(VLOOKUP(B78,'COMPARAÇÃO DE PREÇOS'!A:E,2,FALSE),"")</f>
        <v>1.3596</v>
      </c>
      <c r="D78" s="16">
        <f>IFERROR(VLOOKUP(B78,'COMPARAÇÃO DE PREÇOS'!A:E,3,FALSE),"")</f>
        <v>5</v>
      </c>
      <c r="E78" s="16">
        <f>IFERROR(VLOOKUP(B78,'COMPARAÇÃO DE PREÇOS'!A:E,5,FALSE),"")</f>
        <v>5</v>
      </c>
      <c r="F78" s="16">
        <f>IFERROR(VLOOKUP(B78,'COMPARAÇÃO DE PREÇOS'!A:E,4,FALSE),"")</f>
        <v>6</v>
      </c>
      <c r="G78" s="17">
        <f t="shared" si="1"/>
        <v>0.27192</v>
      </c>
      <c r="H78" s="17">
        <f t="shared" si="2"/>
        <v>0.27192</v>
      </c>
      <c r="I78" s="17">
        <f t="shared" si="3"/>
        <v>0.2266</v>
      </c>
    </row>
    <row r="79" ht="15.75" customHeight="1">
      <c r="A79" s="14" t="s">
        <v>83</v>
      </c>
      <c r="B79" s="15" t="s">
        <v>91</v>
      </c>
      <c r="C79" s="16" t="str">
        <f>IFERROR(VLOOKUP(B79,'COMPARAÇÃO DE PREÇOS'!A:E,2,FALSE),"")</f>
        <v/>
      </c>
      <c r="D79" s="16" t="str">
        <f>IFERROR(VLOOKUP(B79,'COMPARAÇÃO DE PREÇOS'!A:E,3,FALSE),"")</f>
        <v/>
      </c>
      <c r="E79" s="16" t="str">
        <f>IFERROR(VLOOKUP(B79,'COMPARAÇÃO DE PREÇOS'!A:E,5,FALSE),"")</f>
        <v/>
      </c>
      <c r="F79" s="16" t="str">
        <f>IFERROR(VLOOKUP(B79,'COMPARAÇÃO DE PREÇOS'!A:E,4,FALSE),"")</f>
        <v/>
      </c>
      <c r="G79" s="17" t="str">
        <f t="shared" si="1"/>
        <v/>
      </c>
      <c r="H79" s="17" t="str">
        <f t="shared" si="2"/>
        <v/>
      </c>
      <c r="I79" s="17" t="str">
        <f t="shared" si="3"/>
        <v/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$79"/>
  <mergeCells count="1">
    <mergeCell ref="A1:F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8.71"/>
    <col customWidth="1" min="3" max="3" width="12.14"/>
    <col customWidth="1" min="4" max="4" width="20.57"/>
    <col customWidth="1" min="5" max="5" width="13.57"/>
    <col customWidth="1" min="6" max="26" width="8.71"/>
  </cols>
  <sheetData>
    <row r="1">
      <c r="B1" s="18" t="s">
        <v>92</v>
      </c>
      <c r="C1" s="18" t="s">
        <v>93</v>
      </c>
      <c r="D1" s="18" t="s">
        <v>94</v>
      </c>
      <c r="E1" s="18" t="s">
        <v>95</v>
      </c>
    </row>
    <row r="2">
      <c r="A2" s="18" t="s">
        <v>96</v>
      </c>
      <c r="B2" s="18" t="s">
        <v>97</v>
      </c>
      <c r="C2" s="19">
        <v>4.99</v>
      </c>
      <c r="D2" s="18">
        <v>1000.0</v>
      </c>
      <c r="E2" s="19">
        <f t="shared" ref="E2:E53" si="1">C2/D2</f>
        <v>0.00499</v>
      </c>
    </row>
    <row r="3">
      <c r="A3" s="18" t="s">
        <v>98</v>
      </c>
      <c r="B3" s="18" t="s">
        <v>99</v>
      </c>
      <c r="C3" s="19">
        <v>1.0</v>
      </c>
      <c r="D3" s="18">
        <v>1000.0</v>
      </c>
      <c r="E3" s="19">
        <f t="shared" si="1"/>
        <v>0.001</v>
      </c>
    </row>
    <row r="4">
      <c r="A4" s="18" t="s">
        <v>100</v>
      </c>
      <c r="B4" s="18" t="s">
        <v>97</v>
      </c>
      <c r="C4" s="19">
        <v>12.0</v>
      </c>
      <c r="D4" s="18">
        <v>200.0</v>
      </c>
      <c r="E4" s="19">
        <f t="shared" si="1"/>
        <v>0.06</v>
      </c>
    </row>
    <row r="5">
      <c r="A5" s="18" t="s">
        <v>101</v>
      </c>
      <c r="B5" s="18" t="s">
        <v>97</v>
      </c>
      <c r="C5" s="20">
        <v>24.1</v>
      </c>
      <c r="D5" s="18">
        <v>1000.0</v>
      </c>
      <c r="E5" s="19">
        <f t="shared" si="1"/>
        <v>0.0241</v>
      </c>
    </row>
    <row r="6">
      <c r="A6" s="18" t="s">
        <v>102</v>
      </c>
      <c r="B6" s="18" t="s">
        <v>97</v>
      </c>
      <c r="C6" s="19">
        <v>29.99</v>
      </c>
      <c r="D6" s="18">
        <v>1000.0</v>
      </c>
      <c r="E6" s="19">
        <f t="shared" si="1"/>
        <v>0.02999</v>
      </c>
    </row>
    <row r="7">
      <c r="A7" s="18" t="s">
        <v>103</v>
      </c>
      <c r="B7" s="18" t="s">
        <v>97</v>
      </c>
      <c r="C7" s="19">
        <v>7.29</v>
      </c>
      <c r="D7" s="18">
        <v>1000.0</v>
      </c>
      <c r="E7" s="19">
        <f t="shared" si="1"/>
        <v>0.00729</v>
      </c>
    </row>
    <row r="8">
      <c r="A8" s="18" t="s">
        <v>104</v>
      </c>
      <c r="B8" s="18" t="s">
        <v>97</v>
      </c>
      <c r="C8" s="19">
        <v>43.0</v>
      </c>
      <c r="D8" s="18">
        <v>1000.0</v>
      </c>
      <c r="E8" s="19">
        <f t="shared" si="1"/>
        <v>0.043</v>
      </c>
    </row>
    <row r="9">
      <c r="A9" s="18" t="s">
        <v>105</v>
      </c>
      <c r="B9" s="18" t="s">
        <v>97</v>
      </c>
      <c r="C9" s="19">
        <v>15.29</v>
      </c>
      <c r="D9" s="18">
        <v>1000.0</v>
      </c>
      <c r="E9" s="19">
        <f t="shared" si="1"/>
        <v>0.01529</v>
      </c>
    </row>
    <row r="10">
      <c r="A10" s="18" t="s">
        <v>106</v>
      </c>
      <c r="B10" s="18" t="s">
        <v>107</v>
      </c>
      <c r="C10" s="19">
        <v>5160.0</v>
      </c>
      <c r="D10" s="18">
        <v>6000.0</v>
      </c>
      <c r="E10" s="19">
        <f t="shared" si="1"/>
        <v>0.86</v>
      </c>
    </row>
    <row r="11">
      <c r="A11" s="18" t="s">
        <v>108</v>
      </c>
      <c r="B11" s="18" t="s">
        <v>107</v>
      </c>
      <c r="C11" s="19">
        <v>5160.0</v>
      </c>
      <c r="D11" s="18">
        <v>6000.0</v>
      </c>
      <c r="E11" s="19">
        <f t="shared" si="1"/>
        <v>0.86</v>
      </c>
    </row>
    <row r="12">
      <c r="A12" s="18" t="s">
        <v>109</v>
      </c>
      <c r="B12" s="18" t="s">
        <v>97</v>
      </c>
      <c r="C12" s="21">
        <v>24.99</v>
      </c>
      <c r="D12" s="18">
        <v>1000.0</v>
      </c>
      <c r="E12" s="19">
        <f t="shared" si="1"/>
        <v>0.02499</v>
      </c>
    </row>
    <row r="13">
      <c r="A13" s="18" t="s">
        <v>110</v>
      </c>
      <c r="B13" s="18" t="s">
        <v>97</v>
      </c>
      <c r="C13" s="19">
        <v>2.0</v>
      </c>
      <c r="D13" s="18">
        <v>1000.0</v>
      </c>
      <c r="E13" s="19">
        <f t="shared" si="1"/>
        <v>0.002</v>
      </c>
    </row>
    <row r="14">
      <c r="A14" s="18" t="s">
        <v>111</v>
      </c>
      <c r="B14" s="18" t="s">
        <v>97</v>
      </c>
      <c r="C14" s="19">
        <v>4.5</v>
      </c>
      <c r="D14" s="18">
        <v>1000.0</v>
      </c>
      <c r="E14" s="19">
        <f t="shared" si="1"/>
        <v>0.0045</v>
      </c>
    </row>
    <row r="15">
      <c r="A15" s="18" t="s">
        <v>112</v>
      </c>
      <c r="B15" s="18" t="s">
        <v>97</v>
      </c>
      <c r="C15" s="19">
        <v>52.99</v>
      </c>
      <c r="D15" s="18">
        <v>1500.0</v>
      </c>
      <c r="E15" s="19">
        <f t="shared" si="1"/>
        <v>0.03532666667</v>
      </c>
    </row>
    <row r="16">
      <c r="A16" s="18" t="s">
        <v>113</v>
      </c>
      <c r="B16" s="18" t="s">
        <v>97</v>
      </c>
      <c r="C16" s="19">
        <v>35.99</v>
      </c>
      <c r="D16" s="18">
        <v>1000.0</v>
      </c>
      <c r="E16" s="19">
        <f t="shared" si="1"/>
        <v>0.03599</v>
      </c>
    </row>
    <row r="17">
      <c r="A17" s="18" t="s">
        <v>114</v>
      </c>
      <c r="B17" s="18" t="s">
        <v>97</v>
      </c>
      <c r="C17" s="19">
        <v>30.0</v>
      </c>
      <c r="D17" s="18">
        <v>1000.0</v>
      </c>
      <c r="E17" s="19">
        <f t="shared" si="1"/>
        <v>0.03</v>
      </c>
    </row>
    <row r="18">
      <c r="A18" s="18" t="s">
        <v>115</v>
      </c>
      <c r="B18" s="18" t="s">
        <v>97</v>
      </c>
      <c r="C18" s="19">
        <v>4.4</v>
      </c>
      <c r="D18" s="18">
        <v>1000.0</v>
      </c>
      <c r="E18" s="19">
        <f t="shared" si="1"/>
        <v>0.0044</v>
      </c>
    </row>
    <row r="19">
      <c r="A19" s="18" t="s">
        <v>116</v>
      </c>
      <c r="B19" s="18" t="s">
        <v>97</v>
      </c>
      <c r="C19" s="19">
        <v>14.7</v>
      </c>
      <c r="D19" s="18">
        <v>1030.0</v>
      </c>
      <c r="E19" s="19">
        <f t="shared" si="1"/>
        <v>0.01427184466</v>
      </c>
    </row>
    <row r="20" ht="15.75" customHeight="1">
      <c r="A20" s="18" t="s">
        <v>117</v>
      </c>
      <c r="B20" s="18" t="s">
        <v>97</v>
      </c>
      <c r="C20" s="19">
        <v>15.36</v>
      </c>
      <c r="D20" s="18">
        <v>1040.0</v>
      </c>
      <c r="E20" s="19">
        <f t="shared" si="1"/>
        <v>0.01476923077</v>
      </c>
    </row>
    <row r="21" ht="15.75" customHeight="1">
      <c r="A21" s="18" t="s">
        <v>118</v>
      </c>
      <c r="B21" s="18" t="s">
        <v>97</v>
      </c>
      <c r="C21" s="19">
        <v>34.59</v>
      </c>
      <c r="D21" s="18">
        <v>500.0</v>
      </c>
      <c r="E21" s="19">
        <f t="shared" si="1"/>
        <v>0.06918</v>
      </c>
    </row>
    <row r="22" ht="15.75" customHeight="1">
      <c r="A22" s="18" t="s">
        <v>119</v>
      </c>
      <c r="B22" s="18" t="s">
        <v>97</v>
      </c>
      <c r="C22" s="19">
        <v>53.0</v>
      </c>
      <c r="D22" s="18">
        <v>1000.0</v>
      </c>
      <c r="E22" s="19">
        <f t="shared" si="1"/>
        <v>0.053</v>
      </c>
    </row>
    <row r="23" ht="15.75" customHeight="1">
      <c r="A23" s="18" t="s">
        <v>120</v>
      </c>
      <c r="B23" s="18" t="s">
        <v>97</v>
      </c>
      <c r="C23" s="19">
        <v>136.5</v>
      </c>
      <c r="D23" s="18">
        <v>6000.0</v>
      </c>
      <c r="E23" s="19">
        <f t="shared" si="1"/>
        <v>0.02275</v>
      </c>
    </row>
    <row r="24" ht="15.75" customHeight="1">
      <c r="A24" s="18" t="s">
        <v>121</v>
      </c>
      <c r="B24" s="18" t="s">
        <v>97</v>
      </c>
      <c r="C24" s="19">
        <v>2.8</v>
      </c>
      <c r="D24" s="18">
        <v>160.0</v>
      </c>
      <c r="E24" s="19">
        <f t="shared" si="1"/>
        <v>0.0175</v>
      </c>
    </row>
    <row r="25" ht="15.75" customHeight="1">
      <c r="A25" s="18" t="s">
        <v>122</v>
      </c>
      <c r="B25" s="18" t="s">
        <v>97</v>
      </c>
      <c r="C25" s="19">
        <v>37.555</v>
      </c>
      <c r="D25" s="18">
        <v>2000.0</v>
      </c>
      <c r="E25" s="19">
        <f t="shared" si="1"/>
        <v>0.0187775</v>
      </c>
    </row>
    <row r="26" ht="15.75" customHeight="1">
      <c r="A26" s="18" t="s">
        <v>123</v>
      </c>
      <c r="B26" s="18" t="s">
        <v>107</v>
      </c>
      <c r="C26" s="19">
        <v>60.0</v>
      </c>
      <c r="D26" s="18">
        <v>1000.0</v>
      </c>
      <c r="E26" s="19">
        <f t="shared" si="1"/>
        <v>0.06</v>
      </c>
    </row>
    <row r="27" ht="15.75" customHeight="1">
      <c r="A27" s="18" t="s">
        <v>124</v>
      </c>
      <c r="B27" s="18" t="s">
        <v>97</v>
      </c>
      <c r="C27" s="19">
        <v>5.0</v>
      </c>
      <c r="D27" s="18">
        <v>1000.0</v>
      </c>
      <c r="E27" s="19">
        <f t="shared" si="1"/>
        <v>0.005</v>
      </c>
    </row>
    <row r="28" ht="15.75" customHeight="1">
      <c r="A28" s="18" t="s">
        <v>125</v>
      </c>
      <c r="B28" s="18" t="s">
        <v>97</v>
      </c>
      <c r="C28" s="19">
        <v>12.0</v>
      </c>
      <c r="D28" s="18">
        <v>1000.0</v>
      </c>
      <c r="E28" s="19">
        <f t="shared" si="1"/>
        <v>0.012</v>
      </c>
    </row>
    <row r="29" ht="15.75" customHeight="1">
      <c r="A29" s="18" t="s">
        <v>126</v>
      </c>
      <c r="B29" s="18" t="s">
        <v>97</v>
      </c>
      <c r="C29" s="19">
        <v>41.69</v>
      </c>
      <c r="D29" s="18">
        <v>2800.0</v>
      </c>
      <c r="E29" s="19">
        <f t="shared" si="1"/>
        <v>0.01488928571</v>
      </c>
    </row>
    <row r="30" ht="15.75" customHeight="1">
      <c r="A30" s="18" t="s">
        <v>127</v>
      </c>
      <c r="B30" s="18" t="s">
        <v>97</v>
      </c>
      <c r="C30" s="19">
        <v>145.0</v>
      </c>
      <c r="D30" s="18">
        <v>5000.0</v>
      </c>
      <c r="E30" s="19">
        <f t="shared" si="1"/>
        <v>0.029</v>
      </c>
    </row>
    <row r="31" ht="15.75" customHeight="1">
      <c r="A31" s="18" t="s">
        <v>128</v>
      </c>
      <c r="B31" s="18" t="s">
        <v>97</v>
      </c>
      <c r="C31" s="19">
        <v>39.9</v>
      </c>
      <c r="D31" s="18">
        <v>3600.0</v>
      </c>
      <c r="E31" s="19">
        <f t="shared" si="1"/>
        <v>0.01108333333</v>
      </c>
    </row>
    <row r="32" ht="15.75" customHeight="1">
      <c r="A32" s="18" t="s">
        <v>129</v>
      </c>
      <c r="B32" s="18" t="s">
        <v>97</v>
      </c>
      <c r="C32" s="19">
        <v>33.99</v>
      </c>
      <c r="D32" s="18">
        <v>1000.0</v>
      </c>
      <c r="E32" s="19">
        <f t="shared" si="1"/>
        <v>0.03399</v>
      </c>
    </row>
    <row r="33" ht="15.75" customHeight="1">
      <c r="A33" s="18" t="s">
        <v>130</v>
      </c>
      <c r="B33" s="18" t="s">
        <v>97</v>
      </c>
      <c r="C33" s="19">
        <v>12.0</v>
      </c>
      <c r="D33" s="18">
        <v>15.0</v>
      </c>
      <c r="E33" s="19">
        <f t="shared" si="1"/>
        <v>0.8</v>
      </c>
    </row>
    <row r="34" ht="15.75" customHeight="1">
      <c r="A34" s="18" t="s">
        <v>131</v>
      </c>
      <c r="B34" s="18" t="s">
        <v>97</v>
      </c>
      <c r="C34" s="19">
        <v>22.89</v>
      </c>
      <c r="D34" s="18">
        <v>1000.0</v>
      </c>
      <c r="E34" s="19">
        <f t="shared" si="1"/>
        <v>0.02289</v>
      </c>
    </row>
    <row r="35" ht="15.75" customHeight="1">
      <c r="A35" s="18" t="s">
        <v>132</v>
      </c>
      <c r="B35" s="18" t="s">
        <v>97</v>
      </c>
      <c r="C35" s="19">
        <v>181.0</v>
      </c>
      <c r="D35" s="18">
        <v>14500.0</v>
      </c>
      <c r="E35" s="19">
        <f t="shared" si="1"/>
        <v>0.01248275862</v>
      </c>
    </row>
    <row r="36" ht="15.75" customHeight="1">
      <c r="A36" s="18" t="s">
        <v>133</v>
      </c>
      <c r="B36" s="18" t="s">
        <v>97</v>
      </c>
      <c r="C36" s="19">
        <v>18.0</v>
      </c>
      <c r="D36" s="18">
        <v>1000.0</v>
      </c>
      <c r="E36" s="19">
        <f t="shared" si="1"/>
        <v>0.018</v>
      </c>
    </row>
    <row r="37" ht="15.75" customHeight="1">
      <c r="A37" s="18" t="s">
        <v>134</v>
      </c>
      <c r="B37" s="18" t="s">
        <v>107</v>
      </c>
      <c r="C37" s="19">
        <v>1.7</v>
      </c>
      <c r="D37" s="18">
        <v>1.0</v>
      </c>
      <c r="E37" s="19">
        <f t="shared" si="1"/>
        <v>1.7</v>
      </c>
    </row>
    <row r="38" ht="15.75" customHeight="1">
      <c r="A38" s="18" t="s">
        <v>135</v>
      </c>
      <c r="B38" s="18" t="s">
        <v>97</v>
      </c>
      <c r="C38" s="19">
        <v>30.0</v>
      </c>
      <c r="D38" s="18">
        <v>1000.0</v>
      </c>
      <c r="E38" s="19">
        <f t="shared" si="1"/>
        <v>0.03</v>
      </c>
    </row>
    <row r="39" ht="15.75" customHeight="1">
      <c r="A39" s="18" t="s">
        <v>136</v>
      </c>
      <c r="B39" s="18" t="s">
        <v>97</v>
      </c>
      <c r="C39" s="19">
        <v>18.31</v>
      </c>
      <c r="D39" s="18">
        <v>400.0</v>
      </c>
      <c r="E39" s="19">
        <f t="shared" si="1"/>
        <v>0.045775</v>
      </c>
    </row>
    <row r="40" ht="15.75" customHeight="1">
      <c r="A40" s="18" t="s">
        <v>137</v>
      </c>
      <c r="B40" s="18" t="s">
        <v>97</v>
      </c>
      <c r="C40" s="19">
        <v>4.0</v>
      </c>
      <c r="D40" s="18">
        <v>1000.0</v>
      </c>
      <c r="E40" s="19">
        <f t="shared" si="1"/>
        <v>0.004</v>
      </c>
    </row>
    <row r="41" ht="15.75" customHeight="1">
      <c r="A41" s="18" t="s">
        <v>138</v>
      </c>
      <c r="B41" s="18" t="s">
        <v>97</v>
      </c>
      <c r="C41" s="19">
        <v>4.98</v>
      </c>
      <c r="D41" s="18">
        <v>1000.0</v>
      </c>
      <c r="E41" s="19">
        <f t="shared" si="1"/>
        <v>0.00498</v>
      </c>
    </row>
    <row r="42" ht="15.75" customHeight="1">
      <c r="A42" s="18" t="s">
        <v>139</v>
      </c>
      <c r="B42" s="18" t="s">
        <v>97</v>
      </c>
      <c r="C42" s="19">
        <v>6.0</v>
      </c>
      <c r="D42" s="18">
        <v>1000.0</v>
      </c>
      <c r="E42" s="19">
        <f t="shared" si="1"/>
        <v>0.006</v>
      </c>
    </row>
    <row r="43" ht="15.75" customHeight="1">
      <c r="A43" s="18" t="s">
        <v>140</v>
      </c>
      <c r="B43" s="18" t="s">
        <v>97</v>
      </c>
      <c r="C43" s="19">
        <f>VLOOKUP(A43,Preparos!A:E,3,FALSE)</f>
        <v>2.5</v>
      </c>
      <c r="D43" s="18">
        <v>1000.0</v>
      </c>
      <c r="E43" s="19">
        <f t="shared" si="1"/>
        <v>0.0025</v>
      </c>
    </row>
    <row r="44" ht="15.75" customHeight="1">
      <c r="A44" s="18" t="s">
        <v>141</v>
      </c>
      <c r="B44" s="18" t="s">
        <v>107</v>
      </c>
      <c r="C44" s="19">
        <v>5120.0</v>
      </c>
      <c r="D44" s="18">
        <v>40000.0</v>
      </c>
      <c r="E44" s="19">
        <f t="shared" si="1"/>
        <v>0.128</v>
      </c>
    </row>
    <row r="45" ht="15.75" customHeight="1">
      <c r="A45" s="18" t="s">
        <v>142</v>
      </c>
      <c r="B45" s="18" t="s">
        <v>97</v>
      </c>
      <c r="C45" s="19">
        <v>49.9</v>
      </c>
      <c r="D45" s="18">
        <v>2000.0</v>
      </c>
      <c r="E45" s="19">
        <f t="shared" si="1"/>
        <v>0.02495</v>
      </c>
    </row>
    <row r="46" ht="15.75" customHeight="1">
      <c r="A46" s="18" t="s">
        <v>143</v>
      </c>
      <c r="B46" s="18" t="s">
        <v>97</v>
      </c>
      <c r="C46" s="19">
        <v>30.0</v>
      </c>
      <c r="D46" s="18">
        <v>1000.0</v>
      </c>
      <c r="E46" s="19">
        <f t="shared" si="1"/>
        <v>0.03</v>
      </c>
    </row>
    <row r="47" ht="15.75" customHeight="1">
      <c r="A47" s="18" t="s">
        <v>144</v>
      </c>
      <c r="B47" s="18" t="s">
        <v>97</v>
      </c>
      <c r="C47" s="19">
        <v>30.0</v>
      </c>
      <c r="D47" s="18">
        <v>1000.0</v>
      </c>
      <c r="E47" s="19">
        <f t="shared" si="1"/>
        <v>0.03</v>
      </c>
    </row>
    <row r="48" ht="15.75" customHeight="1">
      <c r="A48" s="18" t="s">
        <v>145</v>
      </c>
      <c r="B48" s="18" t="s">
        <v>97</v>
      </c>
      <c r="C48" s="19">
        <v>84.0</v>
      </c>
      <c r="D48" s="18">
        <v>1000.0</v>
      </c>
      <c r="E48" s="19">
        <f t="shared" si="1"/>
        <v>0.084</v>
      </c>
    </row>
    <row r="49" ht="15.75" customHeight="1">
      <c r="A49" s="18" t="s">
        <v>146</v>
      </c>
      <c r="B49" s="18" t="s">
        <v>97</v>
      </c>
      <c r="C49" s="19">
        <v>648.9</v>
      </c>
      <c r="D49" s="18">
        <v>15000.0</v>
      </c>
      <c r="E49" s="19">
        <f t="shared" si="1"/>
        <v>0.04326</v>
      </c>
    </row>
    <row r="50" ht="15.75" customHeight="1">
      <c r="A50" s="18" t="s">
        <v>147</v>
      </c>
      <c r="B50" s="18" t="s">
        <v>107</v>
      </c>
      <c r="C50" s="19">
        <v>6.5</v>
      </c>
      <c r="D50" s="18">
        <v>1.0</v>
      </c>
      <c r="E50" s="19">
        <f t="shared" si="1"/>
        <v>6.5</v>
      </c>
    </row>
    <row r="51" ht="15.75" customHeight="1">
      <c r="A51" s="18" t="s">
        <v>148</v>
      </c>
      <c r="B51" s="18" t="s">
        <v>107</v>
      </c>
      <c r="C51" s="19">
        <v>6.5</v>
      </c>
      <c r="D51" s="18">
        <v>1.0</v>
      </c>
      <c r="E51" s="19">
        <f t="shared" si="1"/>
        <v>6.5</v>
      </c>
    </row>
    <row r="52" ht="15.75" customHeight="1">
      <c r="A52" s="15" t="s">
        <v>149</v>
      </c>
      <c r="B52" s="15" t="s">
        <v>97</v>
      </c>
      <c r="C52" s="21">
        <v>18.0</v>
      </c>
      <c r="D52" s="15">
        <v>1000.0</v>
      </c>
      <c r="E52" s="19">
        <f t="shared" si="1"/>
        <v>0.018</v>
      </c>
    </row>
    <row r="53" ht="15.75" customHeight="1">
      <c r="A53" s="15" t="s">
        <v>150</v>
      </c>
      <c r="B53" s="15" t="s">
        <v>97</v>
      </c>
      <c r="C53" s="21">
        <v>15.8</v>
      </c>
      <c r="D53" s="15">
        <v>400.0</v>
      </c>
      <c r="E53" s="19">
        <f t="shared" si="1"/>
        <v>0.0395</v>
      </c>
    </row>
    <row r="54" ht="15.75" customHeight="1">
      <c r="A54" s="15" t="s">
        <v>151</v>
      </c>
      <c r="B54" s="15" t="s">
        <v>107</v>
      </c>
      <c r="C54" s="19"/>
      <c r="E54" s="19"/>
    </row>
    <row r="55" ht="15.75" customHeight="1">
      <c r="A55" s="18"/>
      <c r="C55" s="19"/>
      <c r="E55" s="19"/>
    </row>
    <row r="56" ht="15.75" customHeight="1">
      <c r="A56" s="18" t="s">
        <v>152</v>
      </c>
      <c r="C56" s="19"/>
      <c r="E56" s="19" t="str">
        <f>IF(D54="","",C54/D54)</f>
        <v/>
      </c>
    </row>
    <row r="57" ht="15.75" customHeight="1">
      <c r="A57" s="18" t="s">
        <v>153</v>
      </c>
      <c r="B57" s="18" t="s">
        <v>97</v>
      </c>
      <c r="C57" s="19">
        <f>VLOOKUP(A57,Preparos!A:E,3,FALSE)</f>
        <v>5.748275862</v>
      </c>
      <c r="D57" s="18">
        <f>VLOOKUP(A57,Preparos!A:E,2,FALSE)</f>
        <v>600</v>
      </c>
      <c r="E57" s="19">
        <f t="shared" ref="E57:E84" si="2">IF(D57="","",C57/D57)</f>
        <v>0.00958045977</v>
      </c>
    </row>
    <row r="58" ht="15.75" customHeight="1">
      <c r="A58" s="18" t="s">
        <v>154</v>
      </c>
      <c r="B58" s="18" t="s">
        <v>97</v>
      </c>
      <c r="C58" s="19">
        <f>VLOOKUP(A58,Preparos!A:E,3,FALSE)</f>
        <v>43</v>
      </c>
      <c r="D58" s="18">
        <f>VLOOKUP(A58,Preparos!A:E,2,FALSE)</f>
        <v>296</v>
      </c>
      <c r="E58" s="19">
        <f t="shared" si="2"/>
        <v>0.1452702703</v>
      </c>
    </row>
    <row r="59" ht="15.75" customHeight="1">
      <c r="A59" s="18" t="s">
        <v>155</v>
      </c>
      <c r="B59" s="18" t="s">
        <v>97</v>
      </c>
      <c r="C59" s="19">
        <f>VLOOKUP(A59,Preparos!A:E,3,FALSE)</f>
        <v>122.2272256</v>
      </c>
      <c r="D59" s="18">
        <f>VLOOKUP(A59,Preparos!A:E,2,FALSE)</f>
        <v>8000</v>
      </c>
      <c r="E59" s="19">
        <f t="shared" si="2"/>
        <v>0.01527840319</v>
      </c>
    </row>
    <row r="60" ht="15.75" customHeight="1">
      <c r="A60" s="18" t="s">
        <v>156</v>
      </c>
      <c r="B60" s="18" t="s">
        <v>97</v>
      </c>
      <c r="C60" s="19">
        <f>VLOOKUP(A60,Preparos!A:E,3,FALSE)</f>
        <v>87.55870714</v>
      </c>
      <c r="D60" s="18">
        <f>VLOOKUP(A60,Preparos!A:E,2,FALSE)</f>
        <v>4895</v>
      </c>
      <c r="E60" s="19">
        <f t="shared" si="2"/>
        <v>0.01788737633</v>
      </c>
    </row>
    <row r="61" ht="15.75" customHeight="1">
      <c r="A61" s="18" t="s">
        <v>157</v>
      </c>
      <c r="B61" s="18" t="s">
        <v>97</v>
      </c>
      <c r="C61" s="19">
        <f>VLOOKUP(A61,Preparos!A:E,3,FALSE)</f>
        <v>2.905405405</v>
      </c>
      <c r="D61" s="18">
        <f>VLOOKUP(A61,Preparos!A:E,2,FALSE)</f>
        <v>1</v>
      </c>
      <c r="E61" s="19">
        <f t="shared" si="2"/>
        <v>2.905405405</v>
      </c>
    </row>
    <row r="62" ht="15.75" customHeight="1">
      <c r="A62" s="18" t="s">
        <v>158</v>
      </c>
      <c r="B62" s="18" t="s">
        <v>97</v>
      </c>
      <c r="C62" s="19">
        <f>VLOOKUP(A62,Preparos!A:E,3,FALSE)</f>
        <v>4.358108108</v>
      </c>
      <c r="D62" s="18">
        <f>VLOOKUP(A62,Preparos!A:E,2,FALSE)</f>
        <v>1</v>
      </c>
      <c r="E62" s="19">
        <f t="shared" si="2"/>
        <v>4.358108108</v>
      </c>
    </row>
    <row r="63" ht="15.75" customHeight="1">
      <c r="A63" s="18" t="s">
        <v>159</v>
      </c>
      <c r="B63" s="18" t="s">
        <v>107</v>
      </c>
      <c r="C63" s="19">
        <f>VLOOKUP(A63,Preparos!A:E,3,FALSE)</f>
        <v>0.6798</v>
      </c>
      <c r="D63" s="18">
        <f>VLOOKUP(A63,Preparos!A:E,2,FALSE)</f>
        <v>1</v>
      </c>
      <c r="E63" s="19">
        <f t="shared" si="2"/>
        <v>0.6798</v>
      </c>
    </row>
    <row r="64" ht="15.75" customHeight="1">
      <c r="A64" s="18" t="s">
        <v>160</v>
      </c>
      <c r="B64" s="18" t="s">
        <v>107</v>
      </c>
      <c r="C64" s="19">
        <f>VLOOKUP(A64,Preparos!A:E,3,FALSE)</f>
        <v>0.50386</v>
      </c>
      <c r="D64" s="18">
        <f>VLOOKUP(A64,Preparos!A:E,2,FALSE)</f>
        <v>1</v>
      </c>
      <c r="E64" s="19">
        <f t="shared" si="2"/>
        <v>0.50386</v>
      </c>
    </row>
    <row r="65" ht="15.75" customHeight="1">
      <c r="A65" s="18" t="s">
        <v>161</v>
      </c>
      <c r="B65" s="18" t="s">
        <v>107</v>
      </c>
      <c r="C65" s="19">
        <f>VLOOKUP(A65,Preparos!A:E,3,FALSE)</f>
        <v>2.352307692</v>
      </c>
      <c r="D65" s="18">
        <f>VLOOKUP(A65,Preparos!A:E,2,FALSE)</f>
        <v>1</v>
      </c>
      <c r="E65" s="19">
        <f t="shared" si="2"/>
        <v>2.352307692</v>
      </c>
    </row>
    <row r="66" ht="15.75" customHeight="1">
      <c r="A66" s="18" t="s">
        <v>162</v>
      </c>
      <c r="B66" s="18" t="s">
        <v>107</v>
      </c>
      <c r="C66" s="19">
        <f>VLOOKUP(A66,Preparos!A:E,3,FALSE)</f>
        <v>0.297</v>
      </c>
      <c r="D66" s="18">
        <f>VLOOKUP(A66,Preparos!A:E,2,FALSE)</f>
        <v>1</v>
      </c>
      <c r="E66" s="19">
        <f t="shared" si="2"/>
        <v>0.297</v>
      </c>
    </row>
    <row r="67" ht="15.75" customHeight="1">
      <c r="A67" s="18" t="s">
        <v>163</v>
      </c>
      <c r="B67" s="18" t="s">
        <v>107</v>
      </c>
      <c r="C67" s="19">
        <f>VLOOKUP(A67,Preparos!A:E,3,FALSE)</f>
        <v>0.4639626923</v>
      </c>
      <c r="D67" s="18">
        <f>VLOOKUP(A67,Preparos!A:E,2,FALSE)</f>
        <v>1</v>
      </c>
      <c r="E67" s="19">
        <f t="shared" si="2"/>
        <v>0.4639626923</v>
      </c>
    </row>
    <row r="68" ht="15.75" customHeight="1">
      <c r="A68" s="18" t="s">
        <v>164</v>
      </c>
      <c r="B68" s="18" t="s">
        <v>107</v>
      </c>
      <c r="C68" s="19">
        <f>VLOOKUP(A68,Preparos!A:E,3,FALSE)</f>
        <v>1.9992</v>
      </c>
      <c r="D68" s="18">
        <f>VLOOKUP(A68,Preparos!A:E,2,FALSE)</f>
        <v>1</v>
      </c>
      <c r="E68" s="19">
        <f t="shared" si="2"/>
        <v>1.9992</v>
      </c>
    </row>
    <row r="69" ht="15.75" customHeight="1">
      <c r="A69" s="18" t="s">
        <v>165</v>
      </c>
      <c r="B69" s="18" t="s">
        <v>107</v>
      </c>
      <c r="C69" s="19">
        <f>VLOOKUP(A69,Preparos!A:E,3,FALSE)</f>
        <v>1.144375</v>
      </c>
      <c r="D69" s="18">
        <f>VLOOKUP(A69,Preparos!A:E,2,FALSE)</f>
        <v>1</v>
      </c>
      <c r="E69" s="19">
        <f t="shared" si="2"/>
        <v>1.144375</v>
      </c>
    </row>
    <row r="70" ht="15.75" customHeight="1">
      <c r="A70" s="18" t="s">
        <v>166</v>
      </c>
      <c r="B70" s="18" t="s">
        <v>107</v>
      </c>
      <c r="C70" s="19">
        <f>VLOOKUP(A70,Preparos!A:E,3,FALSE)</f>
        <v>0.0675</v>
      </c>
      <c r="D70" s="18">
        <f>VLOOKUP(A70,Preparos!A:E,2,FALSE)</f>
        <v>1</v>
      </c>
      <c r="E70" s="19">
        <f t="shared" si="2"/>
        <v>0.0675</v>
      </c>
    </row>
    <row r="71" ht="15.75" customHeight="1">
      <c r="A71" s="18" t="s">
        <v>167</v>
      </c>
      <c r="B71" s="18" t="s">
        <v>107</v>
      </c>
      <c r="C71" s="19">
        <f>VLOOKUP(A71,Preparos!A:E,3,FALSE)</f>
        <v>0.723</v>
      </c>
      <c r="D71" s="18">
        <f>VLOOKUP(A71,Preparos!A:E,2,FALSE)</f>
        <v>1</v>
      </c>
      <c r="E71" s="19">
        <f t="shared" si="2"/>
        <v>0.723</v>
      </c>
    </row>
    <row r="72" ht="15.75" customHeight="1">
      <c r="A72" s="18" t="s">
        <v>168</v>
      </c>
      <c r="B72" s="18" t="s">
        <v>107</v>
      </c>
      <c r="C72" s="19">
        <f>VLOOKUP(A72,Preparos!A:E,3,FALSE)</f>
        <v>0.24</v>
      </c>
      <c r="D72" s="18">
        <f>VLOOKUP(A72,Preparos!A:E,2,FALSE)</f>
        <v>1</v>
      </c>
      <c r="E72" s="19">
        <f t="shared" si="2"/>
        <v>0.24</v>
      </c>
    </row>
    <row r="73" ht="15.75" customHeight="1">
      <c r="A73" s="18" t="s">
        <v>169</v>
      </c>
      <c r="B73" s="18" t="s">
        <v>107</v>
      </c>
      <c r="C73" s="19">
        <f>VLOOKUP(A73,Preparos!A:E,3,FALSE)</f>
        <v>0.3</v>
      </c>
      <c r="D73" s="18">
        <f>VLOOKUP(A73,Preparos!A:E,2,FALSE)</f>
        <v>1</v>
      </c>
      <c r="E73" s="19">
        <f t="shared" si="2"/>
        <v>0.3</v>
      </c>
    </row>
    <row r="74" ht="15.75" customHeight="1">
      <c r="A74" s="18" t="s">
        <v>170</v>
      </c>
      <c r="B74" s="18" t="s">
        <v>107</v>
      </c>
      <c r="C74" s="19">
        <f>VLOOKUP(A74,Preparos!A:E,3,FALSE)</f>
        <v>0.2826504591</v>
      </c>
      <c r="D74" s="18">
        <f>VLOOKUP(A74,Preparos!A:E,2,FALSE)</f>
        <v>1</v>
      </c>
      <c r="E74" s="19">
        <f t="shared" si="2"/>
        <v>0.2826504591</v>
      </c>
    </row>
    <row r="75" ht="15.75" customHeight="1">
      <c r="A75" s="18" t="s">
        <v>171</v>
      </c>
      <c r="B75" s="18" t="s">
        <v>107</v>
      </c>
      <c r="C75" s="19">
        <f>VLOOKUP(A75,Preparos!A:E,3,FALSE)</f>
        <v>0.461575</v>
      </c>
      <c r="D75" s="18">
        <f>VLOOKUP(A75,Preparos!A:E,2,FALSE)</f>
        <v>1</v>
      </c>
      <c r="E75" s="19">
        <f t="shared" si="2"/>
        <v>0.461575</v>
      </c>
    </row>
    <row r="76" ht="15.75" customHeight="1">
      <c r="A76" s="18" t="s">
        <v>91</v>
      </c>
      <c r="B76" s="18" t="s">
        <v>97</v>
      </c>
      <c r="C76" s="19">
        <f>VLOOKUP(A76,Preparos!A:E,3,FALSE)</f>
        <v>13.89345</v>
      </c>
      <c r="D76" s="18">
        <f>VLOOKUP(A76,Preparos!A:E,2,FALSE)</f>
        <v>1387</v>
      </c>
      <c r="E76" s="19">
        <f t="shared" si="2"/>
        <v>0.01001690699</v>
      </c>
    </row>
    <row r="77" ht="15.75" customHeight="1">
      <c r="A77" s="18" t="s">
        <v>172</v>
      </c>
      <c r="B77" s="18" t="s">
        <v>107</v>
      </c>
      <c r="C77" s="19">
        <f>VLOOKUP(A77,Preparos!A:E,3,FALSE)</f>
        <v>0.5008453497</v>
      </c>
      <c r="D77" s="18">
        <f>VLOOKUP(A77,Preparos!A:E,2,FALSE)</f>
        <v>1</v>
      </c>
      <c r="E77" s="19">
        <f t="shared" si="2"/>
        <v>0.5008453497</v>
      </c>
    </row>
    <row r="78" ht="15.75" customHeight="1">
      <c r="A78" s="18" t="s">
        <v>173</v>
      </c>
      <c r="B78" s="18" t="s">
        <v>107</v>
      </c>
      <c r="C78" s="19">
        <f>VLOOKUP(A78,Preparos!A:E,3,FALSE)</f>
        <v>1.454064893</v>
      </c>
      <c r="D78" s="18">
        <f>VLOOKUP(A78,Preparos!A:E,2,FALSE)</f>
        <v>1</v>
      </c>
      <c r="E78" s="19">
        <f t="shared" si="2"/>
        <v>1.454064893</v>
      </c>
    </row>
    <row r="79" ht="15.75" customHeight="1">
      <c r="A79" s="18" t="s">
        <v>174</v>
      </c>
      <c r="B79" s="18" t="s">
        <v>97</v>
      </c>
      <c r="C79" s="19">
        <f>VLOOKUP(A79,Preparos!A:E,3,FALSE)</f>
        <v>52.665</v>
      </c>
      <c r="D79" s="18">
        <f>VLOOKUP(A79,Preparos!A:E,2,FALSE)</f>
        <v>4560</v>
      </c>
      <c r="E79" s="19">
        <f t="shared" si="2"/>
        <v>0.01154934211</v>
      </c>
    </row>
    <row r="80" ht="15.75" customHeight="1">
      <c r="A80" s="18" t="s">
        <v>175</v>
      </c>
      <c r="B80" s="18" t="s">
        <v>107</v>
      </c>
      <c r="C80" s="19">
        <f>VLOOKUP(A80,Preparos!A:E,3,FALSE)</f>
        <v>1.385921053</v>
      </c>
      <c r="D80" s="18">
        <f>VLOOKUP(A80,Preparos!A:E,2,FALSE)</f>
        <v>1</v>
      </c>
      <c r="E80" s="19">
        <f t="shared" si="2"/>
        <v>1.385921053</v>
      </c>
    </row>
    <row r="81" ht="15.75" customHeight="1">
      <c r="A81" s="18" t="s">
        <v>88</v>
      </c>
      <c r="B81" s="18" t="s">
        <v>97</v>
      </c>
      <c r="C81" s="19">
        <f>VLOOKUP(A81,Preparos!A:E,3,FALSE)</f>
        <v>72.70324466</v>
      </c>
      <c r="D81" s="18">
        <f>VLOOKUP(A81,Preparos!A:E,2,FALSE)</f>
        <v>2000</v>
      </c>
      <c r="E81" s="19">
        <f t="shared" si="2"/>
        <v>0.03635162233</v>
      </c>
    </row>
    <row r="82" ht="15.75" customHeight="1">
      <c r="A82" s="18" t="s">
        <v>176</v>
      </c>
      <c r="B82" s="18" t="s">
        <v>97</v>
      </c>
      <c r="C82" s="19">
        <f>VLOOKUP(A82,Preparos!A:E,3,FALSE)</f>
        <v>54.0481</v>
      </c>
      <c r="D82" s="18">
        <f>VLOOKUP(A82,Preparos!A:E,2,FALSE)</f>
        <v>1900</v>
      </c>
      <c r="E82" s="19">
        <f t="shared" si="2"/>
        <v>0.02844636842</v>
      </c>
    </row>
    <row r="83" ht="15.75" customHeight="1">
      <c r="A83" s="22" t="s">
        <v>177</v>
      </c>
      <c r="B83" s="15" t="s">
        <v>107</v>
      </c>
      <c r="C83" s="19">
        <f>VLOOKUP(A83,Preparos!A:E,3,FALSE)</f>
        <v>1.58</v>
      </c>
      <c r="D83" s="18">
        <f>VLOOKUP(A83,Preparos!A:E,2,FALSE)</f>
        <v>1</v>
      </c>
      <c r="E83" s="19">
        <f t="shared" si="2"/>
        <v>1.58</v>
      </c>
    </row>
    <row r="84" ht="15.75" customHeight="1">
      <c r="A84" s="22" t="s">
        <v>178</v>
      </c>
      <c r="B84" s="15" t="s">
        <v>97</v>
      </c>
      <c r="C84" s="19">
        <f>VLOOKUP(A84,Preparos!A:E,3,FALSE)</f>
        <v>1.44</v>
      </c>
      <c r="D84" s="18">
        <f>VLOOKUP(A84,Preparos!A:E,2,FALSE)</f>
        <v>1</v>
      </c>
      <c r="E84" s="19">
        <f t="shared" si="2"/>
        <v>1.44</v>
      </c>
    </row>
    <row r="85" ht="15.75" customHeight="1">
      <c r="C85" s="19"/>
      <c r="E85" s="19"/>
    </row>
    <row r="86" ht="15.75" customHeight="1">
      <c r="C86" s="19"/>
      <c r="E86" s="19" t="str">
        <f t="shared" ref="E86:E145" si="3">IF(D85="","",C85/D85)</f>
        <v/>
      </c>
    </row>
    <row r="87" ht="15.75" customHeight="1">
      <c r="C87" s="19"/>
      <c r="E87" s="19" t="str">
        <f t="shared" si="3"/>
        <v/>
      </c>
    </row>
    <row r="88" ht="15.75" customHeight="1">
      <c r="C88" s="19"/>
      <c r="E88" s="19" t="str">
        <f t="shared" si="3"/>
        <v/>
      </c>
    </row>
    <row r="89" ht="15.75" customHeight="1">
      <c r="C89" s="19"/>
      <c r="E89" s="19" t="str">
        <f t="shared" si="3"/>
        <v/>
      </c>
    </row>
    <row r="90" ht="15.75" customHeight="1">
      <c r="C90" s="19"/>
      <c r="E90" s="19" t="str">
        <f t="shared" si="3"/>
        <v/>
      </c>
    </row>
    <row r="91" ht="15.75" customHeight="1">
      <c r="C91" s="19"/>
      <c r="E91" s="19" t="str">
        <f t="shared" si="3"/>
        <v/>
      </c>
    </row>
    <row r="92" ht="15.75" customHeight="1">
      <c r="C92" s="19"/>
      <c r="E92" s="19" t="str">
        <f t="shared" si="3"/>
        <v/>
      </c>
    </row>
    <row r="93" ht="15.75" customHeight="1">
      <c r="C93" s="19"/>
      <c r="E93" s="19" t="str">
        <f t="shared" si="3"/>
        <v/>
      </c>
    </row>
    <row r="94" ht="15.75" customHeight="1">
      <c r="C94" s="19"/>
      <c r="E94" s="19" t="str">
        <f t="shared" si="3"/>
        <v/>
      </c>
    </row>
    <row r="95" ht="15.75" customHeight="1">
      <c r="C95" s="19"/>
      <c r="E95" s="19" t="str">
        <f t="shared" si="3"/>
        <v/>
      </c>
    </row>
    <row r="96" ht="15.75" customHeight="1">
      <c r="C96" s="19"/>
      <c r="E96" s="19" t="str">
        <f t="shared" si="3"/>
        <v/>
      </c>
    </row>
    <row r="97" ht="15.75" customHeight="1">
      <c r="C97" s="19"/>
      <c r="E97" s="19" t="str">
        <f t="shared" si="3"/>
        <v/>
      </c>
    </row>
    <row r="98" ht="15.75" customHeight="1">
      <c r="C98" s="19"/>
      <c r="E98" s="19" t="str">
        <f t="shared" si="3"/>
        <v/>
      </c>
    </row>
    <row r="99" ht="15.75" customHeight="1">
      <c r="C99" s="19"/>
      <c r="E99" s="19" t="str">
        <f t="shared" si="3"/>
        <v/>
      </c>
    </row>
    <row r="100" ht="15.75" customHeight="1">
      <c r="C100" s="19"/>
      <c r="E100" s="19" t="str">
        <f t="shared" si="3"/>
        <v/>
      </c>
    </row>
    <row r="101" ht="15.75" customHeight="1">
      <c r="C101" s="19"/>
      <c r="E101" s="19" t="str">
        <f t="shared" si="3"/>
        <v/>
      </c>
    </row>
    <row r="102" ht="15.75" customHeight="1">
      <c r="C102" s="19"/>
      <c r="E102" s="19" t="str">
        <f t="shared" si="3"/>
        <v/>
      </c>
    </row>
    <row r="103" ht="15.75" customHeight="1">
      <c r="C103" s="19"/>
      <c r="E103" s="19" t="str">
        <f t="shared" si="3"/>
        <v/>
      </c>
    </row>
    <row r="104" ht="15.75" customHeight="1">
      <c r="C104" s="19"/>
      <c r="E104" s="19" t="str">
        <f t="shared" si="3"/>
        <v/>
      </c>
    </row>
    <row r="105" ht="15.75" customHeight="1">
      <c r="C105" s="19"/>
      <c r="E105" s="19" t="str">
        <f t="shared" si="3"/>
        <v/>
      </c>
    </row>
    <row r="106" ht="15.75" customHeight="1">
      <c r="C106" s="19"/>
      <c r="E106" s="19" t="str">
        <f t="shared" si="3"/>
        <v/>
      </c>
    </row>
    <row r="107" ht="15.75" customHeight="1">
      <c r="C107" s="19"/>
      <c r="E107" s="19" t="str">
        <f t="shared" si="3"/>
        <v/>
      </c>
    </row>
    <row r="108" ht="15.75" customHeight="1">
      <c r="C108" s="19"/>
      <c r="E108" s="19" t="str">
        <f t="shared" si="3"/>
        <v/>
      </c>
    </row>
    <row r="109" ht="15.75" customHeight="1">
      <c r="C109" s="19"/>
      <c r="E109" s="19" t="str">
        <f t="shared" si="3"/>
        <v/>
      </c>
    </row>
    <row r="110" ht="15.75" customHeight="1">
      <c r="C110" s="19"/>
      <c r="E110" s="19" t="str">
        <f t="shared" si="3"/>
        <v/>
      </c>
    </row>
    <row r="111" ht="15.75" customHeight="1">
      <c r="C111" s="19"/>
      <c r="E111" s="19" t="str">
        <f t="shared" si="3"/>
        <v/>
      </c>
    </row>
    <row r="112" ht="15.75" customHeight="1">
      <c r="C112" s="19"/>
      <c r="E112" s="19" t="str">
        <f t="shared" si="3"/>
        <v/>
      </c>
    </row>
    <row r="113" ht="15.75" customHeight="1">
      <c r="C113" s="19"/>
      <c r="E113" s="19" t="str">
        <f t="shared" si="3"/>
        <v/>
      </c>
    </row>
    <row r="114" ht="15.75" customHeight="1">
      <c r="C114" s="19"/>
      <c r="E114" s="19" t="str">
        <f t="shared" si="3"/>
        <v/>
      </c>
    </row>
    <row r="115" ht="15.75" customHeight="1">
      <c r="C115" s="19"/>
      <c r="E115" s="19" t="str">
        <f t="shared" si="3"/>
        <v/>
      </c>
    </row>
    <row r="116" ht="15.75" customHeight="1">
      <c r="C116" s="19"/>
      <c r="E116" s="19" t="str">
        <f t="shared" si="3"/>
        <v/>
      </c>
    </row>
    <row r="117" ht="15.75" customHeight="1">
      <c r="C117" s="19"/>
      <c r="E117" s="19" t="str">
        <f t="shared" si="3"/>
        <v/>
      </c>
    </row>
    <row r="118" ht="15.75" customHeight="1">
      <c r="C118" s="19"/>
      <c r="E118" s="19" t="str">
        <f t="shared" si="3"/>
        <v/>
      </c>
    </row>
    <row r="119" ht="15.75" customHeight="1">
      <c r="C119" s="19"/>
      <c r="E119" s="19" t="str">
        <f t="shared" si="3"/>
        <v/>
      </c>
    </row>
    <row r="120" ht="15.75" customHeight="1">
      <c r="C120" s="19"/>
      <c r="E120" s="19" t="str">
        <f t="shared" si="3"/>
        <v/>
      </c>
    </row>
    <row r="121" ht="15.75" customHeight="1">
      <c r="C121" s="19"/>
      <c r="E121" s="19" t="str">
        <f t="shared" si="3"/>
        <v/>
      </c>
    </row>
    <row r="122" ht="15.75" customHeight="1">
      <c r="C122" s="19"/>
      <c r="E122" s="19" t="str">
        <f t="shared" si="3"/>
        <v/>
      </c>
    </row>
    <row r="123" ht="15.75" customHeight="1">
      <c r="C123" s="19"/>
      <c r="E123" s="19" t="str">
        <f t="shared" si="3"/>
        <v/>
      </c>
    </row>
    <row r="124" ht="15.75" customHeight="1">
      <c r="C124" s="19"/>
      <c r="E124" s="19" t="str">
        <f t="shared" si="3"/>
        <v/>
      </c>
    </row>
    <row r="125" ht="15.75" customHeight="1">
      <c r="C125" s="19"/>
      <c r="E125" s="19" t="str">
        <f t="shared" si="3"/>
        <v/>
      </c>
    </row>
    <row r="126" ht="15.75" customHeight="1">
      <c r="C126" s="19"/>
      <c r="E126" s="19" t="str">
        <f t="shared" si="3"/>
        <v/>
      </c>
    </row>
    <row r="127" ht="15.75" customHeight="1">
      <c r="C127" s="19"/>
      <c r="E127" s="19" t="str">
        <f t="shared" si="3"/>
        <v/>
      </c>
    </row>
    <row r="128" ht="15.75" customHeight="1">
      <c r="C128" s="19"/>
      <c r="E128" s="19" t="str">
        <f t="shared" si="3"/>
        <v/>
      </c>
    </row>
    <row r="129" ht="15.75" customHeight="1">
      <c r="C129" s="19"/>
      <c r="E129" s="19" t="str">
        <f t="shared" si="3"/>
        <v/>
      </c>
    </row>
    <row r="130" ht="15.75" customHeight="1">
      <c r="C130" s="19"/>
      <c r="E130" s="19" t="str">
        <f t="shared" si="3"/>
        <v/>
      </c>
    </row>
    <row r="131" ht="15.75" customHeight="1">
      <c r="C131" s="19"/>
      <c r="E131" s="19" t="str">
        <f t="shared" si="3"/>
        <v/>
      </c>
    </row>
    <row r="132" ht="15.75" customHeight="1">
      <c r="C132" s="19"/>
      <c r="E132" s="19" t="str">
        <f t="shared" si="3"/>
        <v/>
      </c>
    </row>
    <row r="133" ht="15.75" customHeight="1">
      <c r="C133" s="19"/>
      <c r="E133" s="19" t="str">
        <f t="shared" si="3"/>
        <v/>
      </c>
    </row>
    <row r="134" ht="15.75" customHeight="1">
      <c r="C134" s="19"/>
      <c r="E134" s="19" t="str">
        <f t="shared" si="3"/>
        <v/>
      </c>
    </row>
    <row r="135" ht="15.75" customHeight="1">
      <c r="C135" s="19"/>
      <c r="E135" s="19" t="str">
        <f t="shared" si="3"/>
        <v/>
      </c>
    </row>
    <row r="136" ht="15.75" customHeight="1">
      <c r="C136" s="19"/>
      <c r="E136" s="19" t="str">
        <f t="shared" si="3"/>
        <v/>
      </c>
    </row>
    <row r="137" ht="15.75" customHeight="1">
      <c r="C137" s="19"/>
      <c r="E137" s="19" t="str">
        <f t="shared" si="3"/>
        <v/>
      </c>
    </row>
    <row r="138" ht="15.75" customHeight="1">
      <c r="C138" s="19"/>
      <c r="E138" s="19" t="str">
        <f t="shared" si="3"/>
        <v/>
      </c>
    </row>
    <row r="139" ht="15.75" customHeight="1">
      <c r="C139" s="19"/>
      <c r="E139" s="19" t="str">
        <f t="shared" si="3"/>
        <v/>
      </c>
    </row>
    <row r="140" ht="15.75" customHeight="1">
      <c r="C140" s="19"/>
      <c r="E140" s="19" t="str">
        <f t="shared" si="3"/>
        <v/>
      </c>
    </row>
    <row r="141" ht="15.75" customHeight="1">
      <c r="C141" s="19"/>
      <c r="E141" s="19" t="str">
        <f t="shared" si="3"/>
        <v/>
      </c>
    </row>
    <row r="142" ht="15.75" customHeight="1">
      <c r="C142" s="19"/>
      <c r="E142" s="19" t="str">
        <f t="shared" si="3"/>
        <v/>
      </c>
    </row>
    <row r="143" ht="15.75" customHeight="1">
      <c r="C143" s="19"/>
      <c r="E143" s="19" t="str">
        <f t="shared" si="3"/>
        <v/>
      </c>
    </row>
    <row r="144" ht="15.75" customHeight="1">
      <c r="C144" s="19"/>
      <c r="E144" s="19" t="str">
        <f t="shared" si="3"/>
        <v/>
      </c>
    </row>
    <row r="145" ht="15.75" customHeight="1">
      <c r="C145" s="19"/>
      <c r="E145" s="19" t="str">
        <f t="shared" si="3"/>
        <v/>
      </c>
    </row>
    <row r="146" ht="15.75" customHeight="1">
      <c r="C146" s="19"/>
      <c r="E146" s="19"/>
    </row>
    <row r="147" ht="15.75" customHeight="1">
      <c r="C147" s="19"/>
      <c r="E147" s="19"/>
    </row>
    <row r="148" ht="15.75" customHeight="1">
      <c r="C148" s="19"/>
      <c r="E148" s="19"/>
    </row>
    <row r="149" ht="15.75" customHeight="1">
      <c r="C149" s="19"/>
      <c r="E149" s="19"/>
    </row>
    <row r="150" ht="15.75" customHeight="1">
      <c r="C150" s="19"/>
      <c r="E150" s="19"/>
    </row>
    <row r="151" ht="15.75" customHeight="1">
      <c r="C151" s="19"/>
      <c r="E151" s="19"/>
    </row>
    <row r="152" ht="15.75" customHeight="1">
      <c r="C152" s="19"/>
      <c r="E152" s="19"/>
    </row>
    <row r="153" ht="15.75" customHeight="1">
      <c r="C153" s="19"/>
      <c r="E153" s="19"/>
    </row>
    <row r="154" ht="15.75" customHeight="1">
      <c r="C154" s="19"/>
      <c r="E154" s="19"/>
    </row>
    <row r="155" ht="15.75" customHeight="1">
      <c r="C155" s="19"/>
      <c r="E155" s="19"/>
    </row>
    <row r="156" ht="15.75" customHeight="1">
      <c r="C156" s="19"/>
      <c r="E156" s="19"/>
    </row>
    <row r="157" ht="15.75" customHeight="1">
      <c r="C157" s="19"/>
      <c r="E157" s="19"/>
    </row>
    <row r="158" ht="15.75" customHeight="1">
      <c r="C158" s="19"/>
      <c r="E158" s="19"/>
    </row>
    <row r="159" ht="15.75" customHeight="1">
      <c r="C159" s="19"/>
      <c r="E159" s="19"/>
    </row>
    <row r="160" ht="15.75" customHeight="1">
      <c r="C160" s="19"/>
      <c r="E160" s="19"/>
    </row>
    <row r="161" ht="15.75" customHeight="1">
      <c r="C161" s="19"/>
      <c r="E161" s="19"/>
    </row>
    <row r="162" ht="15.75" customHeight="1">
      <c r="C162" s="19"/>
      <c r="E162" s="19"/>
    </row>
    <row r="163" ht="15.75" customHeight="1">
      <c r="C163" s="19"/>
      <c r="E163" s="19"/>
    </row>
    <row r="164" ht="15.75" customHeight="1">
      <c r="C164" s="19"/>
      <c r="E164" s="19"/>
    </row>
    <row r="165" ht="15.75" customHeight="1">
      <c r="C165" s="19"/>
      <c r="E165" s="19"/>
    </row>
    <row r="166" ht="15.75" customHeight="1">
      <c r="C166" s="19"/>
      <c r="E166" s="19"/>
    </row>
    <row r="167" ht="15.75" customHeight="1">
      <c r="C167" s="19"/>
      <c r="E167" s="19"/>
    </row>
    <row r="168" ht="15.75" customHeight="1">
      <c r="C168" s="19"/>
      <c r="E168" s="19"/>
    </row>
    <row r="169" ht="15.75" customHeight="1">
      <c r="C169" s="19"/>
      <c r="E169" s="19"/>
    </row>
    <row r="170" ht="15.75" customHeight="1">
      <c r="C170" s="19"/>
      <c r="E170" s="19"/>
    </row>
    <row r="171" ht="15.75" customHeight="1">
      <c r="C171" s="19"/>
      <c r="E171" s="19"/>
    </row>
    <row r="172" ht="15.75" customHeight="1">
      <c r="C172" s="19"/>
      <c r="E172" s="19"/>
    </row>
    <row r="173" ht="15.75" customHeight="1">
      <c r="C173" s="19"/>
      <c r="E173" s="19"/>
    </row>
    <row r="174" ht="15.75" customHeight="1">
      <c r="C174" s="19"/>
      <c r="E174" s="19"/>
    </row>
    <row r="175" ht="15.75" customHeight="1">
      <c r="C175" s="19"/>
      <c r="E175" s="19"/>
    </row>
    <row r="176" ht="15.75" customHeight="1">
      <c r="C176" s="19"/>
      <c r="E176" s="19"/>
    </row>
    <row r="177" ht="15.75" customHeight="1">
      <c r="C177" s="19"/>
      <c r="E177" s="19"/>
    </row>
    <row r="178" ht="15.75" customHeight="1">
      <c r="C178" s="19"/>
      <c r="E178" s="19"/>
    </row>
    <row r="179" ht="15.75" customHeight="1">
      <c r="C179" s="19"/>
      <c r="E179" s="19"/>
    </row>
    <row r="180" ht="15.75" customHeight="1">
      <c r="C180" s="19"/>
      <c r="E180" s="19"/>
    </row>
    <row r="181" ht="15.75" customHeight="1">
      <c r="C181" s="19"/>
      <c r="E181" s="19"/>
    </row>
    <row r="182" ht="15.75" customHeight="1">
      <c r="C182" s="19"/>
      <c r="E182" s="19"/>
    </row>
    <row r="183" ht="15.75" customHeight="1">
      <c r="C183" s="19"/>
      <c r="E183" s="19"/>
    </row>
    <row r="184" ht="15.75" customHeight="1">
      <c r="C184" s="19"/>
      <c r="E184" s="19"/>
    </row>
    <row r="185" ht="15.75" customHeight="1">
      <c r="C185" s="19"/>
      <c r="E185" s="19"/>
    </row>
    <row r="186" ht="15.75" customHeight="1">
      <c r="C186" s="19"/>
      <c r="E186" s="19"/>
    </row>
    <row r="187" ht="15.75" customHeight="1">
      <c r="C187" s="19"/>
      <c r="E187" s="19"/>
    </row>
    <row r="188" ht="15.75" customHeight="1">
      <c r="C188" s="19"/>
      <c r="E188" s="19"/>
    </row>
    <row r="189" ht="15.75" customHeight="1">
      <c r="C189" s="19"/>
      <c r="E189" s="19"/>
    </row>
    <row r="190" ht="15.75" customHeight="1">
      <c r="C190" s="19"/>
      <c r="E190" s="19"/>
    </row>
    <row r="191" ht="15.75" customHeight="1">
      <c r="C191" s="19"/>
      <c r="E191" s="19"/>
    </row>
    <row r="192" ht="15.75" customHeight="1">
      <c r="C192" s="19"/>
      <c r="E192" s="19"/>
    </row>
    <row r="193" ht="15.75" customHeight="1">
      <c r="C193" s="19"/>
      <c r="E193" s="19"/>
    </row>
    <row r="194" ht="15.75" customHeight="1">
      <c r="C194" s="19"/>
      <c r="E194" s="19"/>
    </row>
    <row r="195" ht="15.75" customHeight="1">
      <c r="C195" s="19"/>
      <c r="E195" s="19"/>
    </row>
    <row r="196" ht="15.75" customHeight="1">
      <c r="C196" s="19"/>
      <c r="E196" s="19"/>
    </row>
    <row r="197" ht="15.75" customHeight="1">
      <c r="C197" s="19"/>
      <c r="E197" s="19"/>
    </row>
    <row r="198" ht="15.75" customHeight="1">
      <c r="C198" s="19"/>
      <c r="E198" s="19"/>
    </row>
    <row r="199" ht="15.75" customHeight="1">
      <c r="C199" s="19"/>
      <c r="E199" s="19"/>
    </row>
    <row r="200" ht="15.75" customHeight="1">
      <c r="C200" s="19"/>
      <c r="E200" s="19"/>
    </row>
    <row r="201" ht="15.75" customHeight="1">
      <c r="C201" s="19"/>
      <c r="E201" s="19"/>
    </row>
    <row r="202" ht="15.75" customHeight="1">
      <c r="C202" s="19"/>
      <c r="E202" s="19"/>
    </row>
    <row r="203" ht="15.75" customHeight="1">
      <c r="C203" s="19"/>
      <c r="E203" s="19"/>
    </row>
    <row r="204" ht="15.75" customHeight="1">
      <c r="C204" s="19"/>
      <c r="E204" s="19"/>
    </row>
    <row r="205" ht="15.75" customHeight="1">
      <c r="C205" s="19"/>
      <c r="E205" s="19"/>
    </row>
    <row r="206" ht="15.75" customHeight="1">
      <c r="C206" s="19"/>
      <c r="E206" s="19"/>
    </row>
    <row r="207" ht="15.75" customHeight="1">
      <c r="C207" s="19"/>
      <c r="E207" s="19"/>
    </row>
    <row r="208" ht="15.75" customHeight="1">
      <c r="C208" s="19"/>
      <c r="E208" s="19"/>
    </row>
    <row r="209" ht="15.75" customHeight="1">
      <c r="C209" s="19"/>
      <c r="E209" s="19"/>
    </row>
    <row r="210" ht="15.75" customHeight="1">
      <c r="C210" s="19"/>
      <c r="E210" s="19"/>
    </row>
    <row r="211" ht="15.75" customHeight="1">
      <c r="C211" s="19"/>
      <c r="E211" s="19"/>
    </row>
    <row r="212" ht="15.75" customHeight="1">
      <c r="C212" s="19"/>
      <c r="E212" s="19"/>
    </row>
    <row r="213" ht="15.75" customHeight="1">
      <c r="C213" s="19"/>
      <c r="E213" s="19"/>
    </row>
    <row r="214" ht="15.75" customHeight="1">
      <c r="C214" s="19"/>
      <c r="E214" s="19"/>
    </row>
    <row r="215" ht="15.75" customHeight="1">
      <c r="C215" s="19"/>
      <c r="E215" s="19"/>
    </row>
    <row r="216" ht="15.75" customHeight="1">
      <c r="C216" s="19"/>
      <c r="E216" s="19"/>
    </row>
    <row r="217" ht="15.75" customHeight="1">
      <c r="C217" s="19"/>
      <c r="E217" s="19"/>
    </row>
    <row r="218" ht="15.75" customHeight="1">
      <c r="C218" s="19"/>
      <c r="E218" s="19"/>
    </row>
    <row r="219" ht="15.75" customHeight="1">
      <c r="C219" s="19"/>
      <c r="E219" s="19"/>
    </row>
    <row r="220" ht="15.75" customHeight="1">
      <c r="C220" s="19"/>
      <c r="E220" s="19"/>
    </row>
    <row r="221" ht="15.75" customHeight="1">
      <c r="C221" s="19"/>
      <c r="E221" s="19"/>
    </row>
    <row r="222" ht="15.75" customHeight="1">
      <c r="C222" s="19"/>
      <c r="E222" s="19"/>
    </row>
    <row r="223" ht="15.75" customHeight="1">
      <c r="C223" s="19"/>
      <c r="E223" s="19"/>
    </row>
    <row r="224" ht="15.75" customHeight="1">
      <c r="C224" s="19"/>
      <c r="E224" s="19"/>
    </row>
    <row r="225" ht="15.75" customHeight="1">
      <c r="C225" s="19"/>
      <c r="E225" s="19"/>
    </row>
    <row r="226" ht="15.75" customHeight="1">
      <c r="C226" s="19"/>
      <c r="E226" s="19"/>
    </row>
    <row r="227" ht="15.75" customHeight="1">
      <c r="C227" s="19"/>
      <c r="E227" s="19"/>
    </row>
    <row r="228" ht="15.75" customHeight="1">
      <c r="C228" s="19"/>
      <c r="E228" s="19"/>
    </row>
    <row r="229" ht="15.75" customHeight="1">
      <c r="C229" s="19"/>
      <c r="E229" s="19"/>
    </row>
    <row r="230" ht="15.75" customHeight="1">
      <c r="C230" s="19"/>
      <c r="E230" s="19"/>
    </row>
    <row r="231" ht="15.75" customHeight="1">
      <c r="C231" s="19"/>
      <c r="E231" s="19"/>
    </row>
    <row r="232" ht="15.75" customHeight="1">
      <c r="C232" s="19"/>
      <c r="E232" s="19"/>
    </row>
    <row r="233" ht="15.75" customHeight="1">
      <c r="C233" s="19"/>
      <c r="E233" s="19"/>
    </row>
    <row r="234" ht="15.75" customHeight="1">
      <c r="C234" s="19"/>
      <c r="E234" s="19"/>
    </row>
    <row r="235" ht="15.75" customHeight="1">
      <c r="C235" s="19"/>
      <c r="E235" s="19"/>
    </row>
    <row r="236" ht="15.75" customHeight="1">
      <c r="C236" s="19"/>
      <c r="E236" s="19"/>
    </row>
    <row r="237" ht="15.75" customHeight="1">
      <c r="C237" s="19"/>
      <c r="E237" s="19"/>
    </row>
    <row r="238" ht="15.75" customHeight="1">
      <c r="C238" s="19"/>
      <c r="E238" s="19"/>
    </row>
    <row r="239" ht="15.75" customHeight="1">
      <c r="C239" s="19"/>
      <c r="E239" s="19"/>
    </row>
    <row r="240" ht="15.75" customHeight="1">
      <c r="C240" s="19"/>
      <c r="E240" s="19"/>
    </row>
    <row r="241" ht="15.75" customHeight="1">
      <c r="C241" s="19"/>
      <c r="E241" s="19"/>
    </row>
    <row r="242" ht="15.75" customHeight="1">
      <c r="C242" s="19"/>
      <c r="E242" s="19"/>
    </row>
    <row r="243" ht="15.75" customHeight="1">
      <c r="C243" s="19"/>
      <c r="E243" s="19"/>
    </row>
    <row r="244" ht="15.75" customHeight="1">
      <c r="C244" s="19"/>
      <c r="E244" s="19"/>
    </row>
    <row r="245" ht="15.75" customHeight="1">
      <c r="C245" s="19"/>
      <c r="E245" s="19"/>
    </row>
    <row r="246" ht="15.75" customHeight="1">
      <c r="C246" s="19"/>
      <c r="E246" s="19"/>
    </row>
    <row r="247" ht="15.75" customHeight="1">
      <c r="C247" s="19"/>
      <c r="E247" s="19"/>
    </row>
    <row r="248" ht="15.75" customHeight="1">
      <c r="C248" s="19"/>
      <c r="E248" s="19"/>
    </row>
    <row r="249" ht="15.75" customHeight="1">
      <c r="C249" s="19"/>
      <c r="E249" s="19"/>
    </row>
    <row r="250" ht="15.75" customHeight="1">
      <c r="C250" s="19"/>
      <c r="E250" s="19"/>
    </row>
    <row r="251" ht="15.75" customHeight="1">
      <c r="C251" s="19"/>
      <c r="E251" s="19"/>
    </row>
    <row r="252" ht="15.75" customHeight="1">
      <c r="C252" s="19"/>
      <c r="E252" s="19"/>
    </row>
    <row r="253" ht="15.75" customHeight="1">
      <c r="C253" s="19"/>
      <c r="E253" s="19"/>
    </row>
    <row r="254" ht="15.75" customHeight="1">
      <c r="C254" s="19"/>
      <c r="E254" s="19"/>
    </row>
    <row r="255" ht="15.75" customHeight="1">
      <c r="C255" s="19"/>
      <c r="E255" s="19"/>
    </row>
    <row r="256" ht="15.75" customHeight="1">
      <c r="C256" s="19"/>
      <c r="E256" s="19"/>
    </row>
    <row r="257" ht="15.75" customHeight="1">
      <c r="C257" s="19"/>
      <c r="E257" s="19"/>
    </row>
    <row r="258" ht="15.75" customHeight="1">
      <c r="C258" s="19"/>
      <c r="E258" s="19"/>
    </row>
    <row r="259" ht="15.75" customHeight="1">
      <c r="C259" s="19"/>
      <c r="E259" s="19"/>
    </row>
    <row r="260" ht="15.75" customHeight="1">
      <c r="C260" s="19"/>
      <c r="E260" s="19"/>
    </row>
    <row r="261" ht="15.75" customHeight="1">
      <c r="C261" s="19"/>
      <c r="E261" s="19"/>
    </row>
    <row r="262" ht="15.75" customHeight="1">
      <c r="C262" s="19"/>
      <c r="E262" s="19"/>
    </row>
    <row r="263" ht="15.75" customHeight="1">
      <c r="C263" s="19"/>
      <c r="E263" s="19"/>
    </row>
    <row r="264" ht="15.75" customHeight="1">
      <c r="C264" s="19"/>
      <c r="E264" s="19"/>
    </row>
    <row r="265" ht="15.75" customHeight="1">
      <c r="C265" s="19"/>
      <c r="E265" s="19"/>
    </row>
    <row r="266" ht="15.75" customHeight="1">
      <c r="C266" s="19"/>
      <c r="E266" s="19"/>
    </row>
    <row r="267" ht="15.75" customHeight="1">
      <c r="C267" s="19"/>
      <c r="E267" s="19"/>
    </row>
    <row r="268" ht="15.75" customHeight="1">
      <c r="C268" s="19"/>
      <c r="E268" s="19"/>
    </row>
    <row r="269" ht="15.75" customHeight="1">
      <c r="C269" s="19"/>
      <c r="E269" s="19"/>
    </row>
    <row r="270" ht="15.75" customHeight="1">
      <c r="C270" s="19"/>
      <c r="E270" s="19"/>
    </row>
    <row r="271" ht="15.75" customHeight="1">
      <c r="C271" s="19"/>
      <c r="E271" s="19"/>
    </row>
    <row r="272" ht="15.75" customHeight="1">
      <c r="C272" s="19"/>
      <c r="E272" s="19"/>
    </row>
    <row r="273" ht="15.75" customHeight="1">
      <c r="C273" s="19"/>
      <c r="E273" s="19"/>
    </row>
    <row r="274" ht="15.75" customHeight="1">
      <c r="C274" s="19"/>
      <c r="E274" s="19"/>
    </row>
    <row r="275" ht="15.75" customHeight="1">
      <c r="C275" s="19"/>
      <c r="E275" s="19"/>
    </row>
    <row r="276" ht="15.75" customHeight="1">
      <c r="C276" s="19"/>
      <c r="E276" s="19"/>
    </row>
    <row r="277" ht="15.75" customHeight="1">
      <c r="C277" s="19"/>
      <c r="E277" s="19"/>
    </row>
    <row r="278" ht="15.75" customHeight="1">
      <c r="C278" s="19"/>
      <c r="E278" s="19"/>
    </row>
    <row r="279" ht="15.75" customHeight="1">
      <c r="C279" s="19"/>
      <c r="E279" s="19"/>
    </row>
    <row r="280" ht="15.75" customHeight="1">
      <c r="C280" s="19"/>
      <c r="E280" s="19"/>
    </row>
    <row r="281" ht="15.75" customHeight="1">
      <c r="C281" s="19"/>
      <c r="E281" s="19"/>
    </row>
    <row r="282" ht="15.75" customHeight="1">
      <c r="C282" s="19"/>
      <c r="E282" s="19"/>
    </row>
    <row r="283" ht="15.75" customHeight="1">
      <c r="C283" s="19"/>
      <c r="E283" s="19"/>
    </row>
    <row r="284" ht="15.75" customHeight="1">
      <c r="C284" s="19"/>
      <c r="E284" s="19"/>
    </row>
    <row r="285" ht="15.75" customHeight="1">
      <c r="C285" s="19"/>
      <c r="E285" s="19"/>
    </row>
    <row r="286" ht="15.75" customHeight="1">
      <c r="C286" s="19"/>
      <c r="E286" s="19"/>
    </row>
    <row r="287" ht="15.75" customHeight="1">
      <c r="C287" s="19"/>
      <c r="E287" s="19"/>
    </row>
    <row r="288" ht="15.75" customHeight="1">
      <c r="C288" s="19"/>
      <c r="E288" s="19"/>
    </row>
    <row r="289" ht="15.75" customHeight="1">
      <c r="C289" s="19"/>
      <c r="E289" s="19"/>
    </row>
    <row r="290" ht="15.75" customHeight="1">
      <c r="C290" s="19"/>
      <c r="E290" s="19"/>
    </row>
    <row r="291" ht="15.75" customHeight="1">
      <c r="C291" s="19"/>
      <c r="E291" s="19"/>
    </row>
    <row r="292" ht="15.75" customHeight="1">
      <c r="C292" s="19"/>
      <c r="E292" s="19"/>
    </row>
    <row r="293" ht="15.75" customHeight="1">
      <c r="C293" s="19"/>
      <c r="E293" s="19"/>
    </row>
    <row r="294" ht="15.75" customHeight="1">
      <c r="C294" s="19"/>
      <c r="E294" s="19"/>
    </row>
    <row r="295" ht="15.75" customHeight="1">
      <c r="C295" s="19"/>
      <c r="E295" s="19"/>
    </row>
    <row r="296" ht="15.75" customHeight="1">
      <c r="C296" s="19"/>
      <c r="E296" s="19"/>
    </row>
    <row r="297" ht="15.75" customHeight="1">
      <c r="C297" s="19"/>
      <c r="E297" s="19"/>
    </row>
    <row r="298" ht="15.75" customHeight="1">
      <c r="C298" s="19"/>
      <c r="E298" s="19"/>
    </row>
    <row r="299" ht="15.75" customHeight="1">
      <c r="C299" s="19"/>
      <c r="E299" s="19"/>
    </row>
    <row r="300" ht="15.75" customHeight="1">
      <c r="C300" s="19"/>
      <c r="E300" s="19"/>
    </row>
    <row r="301" ht="15.75" customHeight="1">
      <c r="C301" s="19"/>
      <c r="E301" s="19"/>
    </row>
    <row r="302" ht="15.75" customHeight="1">
      <c r="C302" s="19"/>
      <c r="E302" s="19"/>
    </row>
    <row r="303" ht="15.75" customHeight="1">
      <c r="C303" s="19"/>
      <c r="E303" s="19"/>
    </row>
    <row r="304" ht="15.75" customHeight="1">
      <c r="C304" s="19"/>
      <c r="E304" s="19"/>
    </row>
    <row r="305" ht="15.75" customHeight="1">
      <c r="C305" s="19"/>
      <c r="E305" s="19"/>
    </row>
    <row r="306" ht="15.75" customHeight="1">
      <c r="C306" s="19"/>
      <c r="E306" s="19"/>
    </row>
    <row r="307" ht="15.75" customHeight="1">
      <c r="C307" s="19"/>
      <c r="E307" s="19"/>
    </row>
    <row r="308" ht="15.75" customHeight="1">
      <c r="C308" s="19"/>
      <c r="E308" s="19"/>
    </row>
    <row r="309" ht="15.75" customHeight="1">
      <c r="C309" s="19"/>
      <c r="E309" s="19"/>
    </row>
    <row r="310" ht="15.75" customHeight="1">
      <c r="C310" s="19"/>
      <c r="E310" s="19"/>
    </row>
    <row r="311" ht="15.75" customHeight="1">
      <c r="C311" s="19"/>
      <c r="E311" s="19"/>
    </row>
    <row r="312" ht="15.75" customHeight="1">
      <c r="C312" s="19"/>
      <c r="E312" s="19"/>
    </row>
    <row r="313" ht="15.75" customHeight="1">
      <c r="C313" s="19"/>
      <c r="E313" s="19"/>
    </row>
    <row r="314" ht="15.75" customHeight="1">
      <c r="C314" s="19"/>
      <c r="E314" s="19"/>
    </row>
    <row r="315" ht="15.75" customHeight="1">
      <c r="C315" s="19"/>
      <c r="E315" s="19"/>
    </row>
    <row r="316" ht="15.75" customHeight="1">
      <c r="C316" s="19"/>
      <c r="E316" s="19"/>
    </row>
    <row r="317" ht="15.75" customHeight="1">
      <c r="C317" s="19"/>
      <c r="E317" s="19"/>
    </row>
    <row r="318" ht="15.75" customHeight="1">
      <c r="C318" s="19"/>
      <c r="E318" s="19"/>
    </row>
    <row r="319" ht="15.75" customHeight="1">
      <c r="C319" s="19"/>
      <c r="E319" s="19"/>
    </row>
    <row r="320" ht="15.75" customHeight="1">
      <c r="C320" s="19"/>
      <c r="E320" s="19"/>
    </row>
    <row r="321" ht="15.75" customHeight="1">
      <c r="C321" s="19"/>
      <c r="E321" s="19"/>
    </row>
    <row r="322" ht="15.75" customHeight="1">
      <c r="C322" s="19"/>
      <c r="E322" s="19"/>
    </row>
    <row r="323" ht="15.75" customHeight="1">
      <c r="C323" s="19"/>
      <c r="E323" s="19"/>
    </row>
    <row r="324" ht="15.75" customHeight="1">
      <c r="C324" s="19"/>
      <c r="E324" s="19"/>
    </row>
    <row r="325" ht="15.75" customHeight="1">
      <c r="C325" s="19"/>
      <c r="E325" s="19"/>
    </row>
    <row r="326" ht="15.75" customHeight="1">
      <c r="C326" s="19"/>
      <c r="E326" s="19"/>
    </row>
    <row r="327" ht="15.75" customHeight="1">
      <c r="C327" s="19"/>
      <c r="E327" s="19"/>
    </row>
    <row r="328" ht="15.75" customHeight="1">
      <c r="C328" s="19"/>
      <c r="E328" s="19"/>
    </row>
    <row r="329" ht="15.75" customHeight="1">
      <c r="C329" s="19"/>
      <c r="E329" s="19"/>
    </row>
    <row r="330" ht="15.75" customHeight="1">
      <c r="C330" s="19"/>
      <c r="E330" s="19"/>
    </row>
    <row r="331" ht="15.75" customHeight="1">
      <c r="C331" s="19"/>
      <c r="E331" s="19"/>
    </row>
    <row r="332" ht="15.75" customHeight="1">
      <c r="C332" s="19"/>
      <c r="E332" s="19"/>
    </row>
    <row r="333" ht="15.75" customHeight="1">
      <c r="C333" s="19"/>
      <c r="E333" s="19"/>
    </row>
    <row r="334" ht="15.75" customHeight="1">
      <c r="C334" s="19"/>
      <c r="E334" s="19"/>
    </row>
    <row r="335" ht="15.75" customHeight="1">
      <c r="C335" s="19"/>
      <c r="E335" s="19"/>
    </row>
    <row r="336" ht="15.75" customHeight="1">
      <c r="C336" s="19"/>
      <c r="E336" s="19"/>
    </row>
    <row r="337" ht="15.75" customHeight="1">
      <c r="C337" s="19"/>
      <c r="E337" s="19"/>
    </row>
    <row r="338" ht="15.75" customHeight="1">
      <c r="C338" s="19"/>
      <c r="E338" s="19"/>
    </row>
    <row r="339" ht="15.75" customHeight="1">
      <c r="C339" s="19"/>
      <c r="E339" s="19"/>
    </row>
    <row r="340" ht="15.75" customHeight="1">
      <c r="C340" s="19"/>
      <c r="E340" s="19"/>
    </row>
    <row r="341" ht="15.75" customHeight="1">
      <c r="C341" s="19"/>
      <c r="E341" s="19"/>
    </row>
    <row r="342" ht="15.75" customHeight="1">
      <c r="C342" s="19"/>
      <c r="E342" s="19"/>
    </row>
    <row r="343" ht="15.75" customHeight="1">
      <c r="C343" s="19"/>
      <c r="E343" s="19"/>
    </row>
    <row r="344" ht="15.75" customHeight="1">
      <c r="C344" s="19"/>
      <c r="E344" s="19"/>
    </row>
    <row r="345" ht="15.75" customHeight="1">
      <c r="C345" s="19"/>
      <c r="E345" s="19"/>
    </row>
    <row r="346" ht="15.75" customHeight="1">
      <c r="C346" s="19"/>
      <c r="E346" s="19"/>
    </row>
    <row r="347" ht="15.75" customHeight="1">
      <c r="C347" s="19"/>
      <c r="E347" s="19"/>
    </row>
    <row r="348" ht="15.75" customHeight="1">
      <c r="C348" s="19"/>
      <c r="E348" s="19"/>
    </row>
    <row r="349" ht="15.75" customHeight="1">
      <c r="C349" s="19"/>
      <c r="E349" s="19"/>
    </row>
    <row r="350" ht="15.75" customHeight="1">
      <c r="C350" s="19"/>
      <c r="E350" s="19"/>
    </row>
    <row r="351" ht="15.75" customHeight="1">
      <c r="C351" s="19"/>
      <c r="E351" s="19"/>
    </row>
    <row r="352" ht="15.75" customHeight="1">
      <c r="C352" s="19"/>
      <c r="E352" s="19"/>
    </row>
    <row r="353" ht="15.75" customHeight="1">
      <c r="C353" s="19"/>
      <c r="E353" s="19"/>
    </row>
    <row r="354" ht="15.75" customHeight="1">
      <c r="C354" s="19"/>
      <c r="E354" s="19"/>
    </row>
    <row r="355" ht="15.75" customHeight="1">
      <c r="C355" s="19"/>
      <c r="E355" s="19"/>
    </row>
    <row r="356" ht="15.75" customHeight="1">
      <c r="C356" s="19"/>
      <c r="E356" s="19"/>
    </row>
    <row r="357" ht="15.75" customHeight="1">
      <c r="C357" s="19"/>
      <c r="E357" s="19"/>
    </row>
    <row r="358" ht="15.75" customHeight="1">
      <c r="C358" s="19"/>
      <c r="E358" s="19"/>
    </row>
    <row r="359" ht="15.75" customHeight="1">
      <c r="C359" s="19"/>
      <c r="E359" s="19"/>
    </row>
    <row r="360" ht="15.75" customHeight="1">
      <c r="C360" s="19"/>
      <c r="E360" s="19"/>
    </row>
    <row r="361" ht="15.75" customHeight="1">
      <c r="C361" s="19"/>
      <c r="E361" s="19"/>
    </row>
    <row r="362" ht="15.75" customHeight="1">
      <c r="C362" s="19"/>
      <c r="E362" s="19"/>
    </row>
    <row r="363" ht="15.75" customHeight="1">
      <c r="C363" s="19"/>
      <c r="E363" s="19"/>
    </row>
    <row r="364" ht="15.75" customHeight="1">
      <c r="C364" s="19"/>
      <c r="E364" s="19"/>
    </row>
    <row r="365" ht="15.75" customHeight="1">
      <c r="C365" s="19"/>
      <c r="E365" s="19"/>
    </row>
    <row r="366" ht="15.75" customHeight="1">
      <c r="C366" s="19"/>
      <c r="E366" s="19"/>
    </row>
    <row r="367" ht="15.75" customHeight="1">
      <c r="C367" s="19"/>
      <c r="E367" s="19"/>
    </row>
    <row r="368" ht="15.75" customHeight="1">
      <c r="C368" s="19"/>
      <c r="E368" s="19"/>
    </row>
    <row r="369" ht="15.75" customHeight="1">
      <c r="C369" s="19"/>
      <c r="E369" s="19"/>
    </row>
    <row r="370" ht="15.75" customHeight="1">
      <c r="C370" s="19"/>
      <c r="E370" s="19"/>
    </row>
    <row r="371" ht="15.75" customHeight="1">
      <c r="C371" s="19"/>
      <c r="E371" s="19"/>
    </row>
    <row r="372" ht="15.75" customHeight="1">
      <c r="C372" s="19"/>
      <c r="E372" s="19"/>
    </row>
    <row r="373" ht="15.75" customHeight="1">
      <c r="C373" s="19"/>
      <c r="E373" s="19"/>
    </row>
    <row r="374" ht="15.75" customHeight="1">
      <c r="C374" s="19"/>
      <c r="E374" s="19"/>
    </row>
    <row r="375" ht="15.75" customHeight="1">
      <c r="C375" s="19"/>
      <c r="E375" s="19"/>
    </row>
    <row r="376" ht="15.75" customHeight="1">
      <c r="C376" s="19"/>
      <c r="E376" s="19"/>
    </row>
    <row r="377" ht="15.75" customHeight="1">
      <c r="C377" s="19"/>
      <c r="E377" s="19"/>
    </row>
    <row r="378" ht="15.75" customHeight="1">
      <c r="C378" s="19"/>
      <c r="E378" s="19"/>
    </row>
    <row r="379" ht="15.75" customHeight="1">
      <c r="C379" s="19"/>
      <c r="E379" s="19"/>
    </row>
    <row r="380" ht="15.75" customHeight="1">
      <c r="C380" s="19"/>
      <c r="E380" s="19"/>
    </row>
    <row r="381" ht="15.75" customHeight="1">
      <c r="C381" s="19"/>
      <c r="E381" s="19"/>
    </row>
    <row r="382" ht="15.75" customHeight="1">
      <c r="C382" s="19"/>
      <c r="E382" s="19"/>
    </row>
    <row r="383" ht="15.75" customHeight="1">
      <c r="C383" s="19"/>
      <c r="E383" s="19"/>
    </row>
    <row r="384" ht="15.75" customHeight="1">
      <c r="C384" s="19"/>
      <c r="E384" s="19"/>
    </row>
    <row r="385" ht="15.75" customHeight="1">
      <c r="C385" s="19"/>
      <c r="E385" s="19"/>
    </row>
    <row r="386" ht="15.75" customHeight="1">
      <c r="C386" s="19"/>
      <c r="E386" s="19"/>
    </row>
    <row r="387" ht="15.75" customHeight="1">
      <c r="C387" s="19"/>
      <c r="E387" s="19"/>
    </row>
    <row r="388" ht="15.75" customHeight="1">
      <c r="C388" s="19"/>
      <c r="E388" s="19"/>
    </row>
    <row r="389" ht="15.75" customHeight="1">
      <c r="C389" s="19"/>
      <c r="E389" s="19"/>
    </row>
    <row r="390" ht="15.75" customHeight="1">
      <c r="C390" s="19"/>
      <c r="E390" s="19"/>
    </row>
    <row r="391" ht="15.75" customHeight="1">
      <c r="C391" s="19"/>
      <c r="E391" s="19"/>
    </row>
    <row r="392" ht="15.75" customHeight="1">
      <c r="C392" s="19"/>
      <c r="E392" s="19"/>
    </row>
    <row r="393" ht="15.75" customHeight="1">
      <c r="C393" s="19"/>
      <c r="E393" s="19"/>
    </row>
    <row r="394" ht="15.75" customHeight="1">
      <c r="C394" s="19"/>
      <c r="E394" s="19"/>
    </row>
    <row r="395" ht="15.75" customHeight="1">
      <c r="C395" s="19"/>
      <c r="E395" s="19"/>
    </row>
    <row r="396" ht="15.75" customHeight="1">
      <c r="C396" s="19"/>
      <c r="E396" s="19"/>
    </row>
    <row r="397" ht="15.75" customHeight="1">
      <c r="C397" s="19"/>
      <c r="E397" s="19"/>
    </row>
    <row r="398" ht="15.75" customHeight="1">
      <c r="C398" s="19"/>
      <c r="E398" s="19"/>
    </row>
    <row r="399" ht="15.75" customHeight="1">
      <c r="C399" s="19"/>
      <c r="E399" s="19"/>
    </row>
    <row r="400" ht="15.75" customHeight="1">
      <c r="C400" s="19"/>
      <c r="E400" s="19"/>
    </row>
    <row r="401" ht="15.75" customHeight="1">
      <c r="C401" s="19"/>
      <c r="E401" s="19"/>
    </row>
    <row r="402" ht="15.75" customHeight="1">
      <c r="C402" s="19"/>
      <c r="E402" s="19"/>
    </row>
    <row r="403" ht="15.75" customHeight="1">
      <c r="C403" s="19"/>
      <c r="E403" s="19"/>
    </row>
    <row r="404" ht="15.75" customHeight="1">
      <c r="C404" s="19"/>
      <c r="E404" s="19"/>
    </row>
    <row r="405" ht="15.75" customHeight="1">
      <c r="C405" s="19"/>
      <c r="E405" s="19"/>
    </row>
    <row r="406" ht="15.75" customHeight="1">
      <c r="C406" s="19"/>
      <c r="E406" s="19"/>
    </row>
    <row r="407" ht="15.75" customHeight="1">
      <c r="C407" s="19"/>
      <c r="E407" s="19"/>
    </row>
    <row r="408" ht="15.75" customHeight="1">
      <c r="C408" s="19"/>
      <c r="E408" s="19"/>
    </row>
    <row r="409" ht="15.75" customHeight="1">
      <c r="C409" s="19"/>
      <c r="E409" s="19"/>
    </row>
    <row r="410" ht="15.75" customHeight="1">
      <c r="C410" s="19"/>
      <c r="E410" s="19"/>
    </row>
    <row r="411" ht="15.75" customHeight="1">
      <c r="C411" s="19"/>
      <c r="E411" s="19"/>
    </row>
    <row r="412" ht="15.75" customHeight="1">
      <c r="C412" s="19"/>
      <c r="E412" s="19"/>
    </row>
    <row r="413" ht="15.75" customHeight="1">
      <c r="C413" s="19"/>
      <c r="E413" s="19"/>
    </row>
    <row r="414" ht="15.75" customHeight="1">
      <c r="C414" s="19"/>
      <c r="E414" s="19"/>
    </row>
    <row r="415" ht="15.75" customHeight="1">
      <c r="C415" s="19"/>
      <c r="E415" s="19"/>
    </row>
    <row r="416" ht="15.75" customHeight="1">
      <c r="C416" s="19"/>
      <c r="E416" s="19"/>
    </row>
    <row r="417" ht="15.75" customHeight="1">
      <c r="C417" s="19"/>
      <c r="E417" s="19"/>
    </row>
    <row r="418" ht="15.75" customHeight="1">
      <c r="C418" s="19"/>
      <c r="E418" s="19"/>
    </row>
    <row r="419" ht="15.75" customHeight="1">
      <c r="C419" s="19"/>
      <c r="E419" s="19"/>
    </row>
    <row r="420" ht="15.75" customHeight="1">
      <c r="C420" s="19"/>
      <c r="E420" s="19"/>
    </row>
    <row r="421" ht="15.75" customHeight="1">
      <c r="C421" s="19"/>
      <c r="E421" s="19"/>
    </row>
    <row r="422" ht="15.75" customHeight="1">
      <c r="C422" s="19"/>
      <c r="E422" s="19"/>
    </row>
    <row r="423" ht="15.75" customHeight="1">
      <c r="C423" s="19"/>
      <c r="E423" s="19"/>
    </row>
    <row r="424" ht="15.75" customHeight="1">
      <c r="C424" s="19"/>
      <c r="E424" s="19"/>
    </row>
    <row r="425" ht="15.75" customHeight="1">
      <c r="C425" s="19"/>
      <c r="E425" s="19"/>
    </row>
    <row r="426" ht="15.75" customHeight="1">
      <c r="C426" s="19"/>
      <c r="E426" s="19"/>
    </row>
    <row r="427" ht="15.75" customHeight="1">
      <c r="C427" s="19"/>
      <c r="E427" s="19"/>
    </row>
    <row r="428" ht="15.75" customHeight="1">
      <c r="C428" s="19"/>
      <c r="E428" s="19"/>
    </row>
    <row r="429" ht="15.75" customHeight="1">
      <c r="C429" s="19"/>
      <c r="E429" s="19"/>
    </row>
    <row r="430" ht="15.75" customHeight="1">
      <c r="C430" s="19"/>
      <c r="E430" s="19"/>
    </row>
    <row r="431" ht="15.75" customHeight="1">
      <c r="C431" s="19"/>
      <c r="E431" s="19"/>
    </row>
    <row r="432" ht="15.75" customHeight="1">
      <c r="C432" s="19"/>
      <c r="E432" s="19"/>
    </row>
    <row r="433" ht="15.75" customHeight="1">
      <c r="C433" s="19"/>
      <c r="E433" s="19"/>
    </row>
    <row r="434" ht="15.75" customHeight="1">
      <c r="C434" s="19"/>
      <c r="E434" s="19"/>
    </row>
    <row r="435" ht="15.75" customHeight="1">
      <c r="C435" s="19"/>
      <c r="E435" s="19"/>
    </row>
    <row r="436" ht="15.75" customHeight="1">
      <c r="C436" s="19"/>
      <c r="E436" s="19"/>
    </row>
    <row r="437" ht="15.75" customHeight="1">
      <c r="C437" s="19"/>
      <c r="E437" s="19"/>
    </row>
    <row r="438" ht="15.75" customHeight="1">
      <c r="C438" s="19"/>
      <c r="E438" s="19"/>
    </row>
    <row r="439" ht="15.75" customHeight="1">
      <c r="C439" s="19"/>
      <c r="E439" s="19"/>
    </row>
    <row r="440" ht="15.75" customHeight="1">
      <c r="C440" s="19"/>
      <c r="E440" s="19"/>
    </row>
    <row r="441" ht="15.75" customHeight="1">
      <c r="C441" s="19"/>
      <c r="E441" s="19"/>
    </row>
    <row r="442" ht="15.75" customHeight="1">
      <c r="C442" s="19"/>
      <c r="E442" s="19"/>
    </row>
    <row r="443" ht="15.75" customHeight="1">
      <c r="C443" s="19"/>
      <c r="E443" s="19"/>
    </row>
    <row r="444" ht="15.75" customHeight="1">
      <c r="C444" s="19"/>
      <c r="E444" s="19"/>
    </row>
    <row r="445" ht="15.75" customHeight="1">
      <c r="C445" s="19"/>
      <c r="E445" s="19"/>
    </row>
    <row r="446" ht="15.75" customHeight="1">
      <c r="C446" s="19"/>
      <c r="E446" s="19"/>
    </row>
    <row r="447" ht="15.75" customHeight="1">
      <c r="C447" s="19"/>
      <c r="E447" s="19"/>
    </row>
    <row r="448" ht="15.75" customHeight="1">
      <c r="C448" s="19"/>
      <c r="E448" s="19"/>
    </row>
    <row r="449" ht="15.75" customHeight="1">
      <c r="C449" s="19"/>
      <c r="E449" s="19"/>
    </row>
    <row r="450" ht="15.75" customHeight="1">
      <c r="C450" s="19"/>
      <c r="E450" s="19"/>
    </row>
    <row r="451" ht="15.75" customHeight="1">
      <c r="C451" s="19"/>
      <c r="E451" s="19"/>
    </row>
    <row r="452" ht="15.75" customHeight="1">
      <c r="C452" s="19"/>
      <c r="E452" s="19"/>
    </row>
    <row r="453" ht="15.75" customHeight="1">
      <c r="C453" s="19"/>
      <c r="E453" s="19"/>
    </row>
    <row r="454" ht="15.75" customHeight="1">
      <c r="C454" s="19"/>
      <c r="E454" s="19"/>
    </row>
    <row r="455" ht="15.75" customHeight="1">
      <c r="C455" s="19"/>
      <c r="E455" s="19"/>
    </row>
    <row r="456" ht="15.75" customHeight="1">
      <c r="C456" s="19"/>
      <c r="E456" s="19"/>
    </row>
    <row r="457" ht="15.75" customHeight="1">
      <c r="C457" s="19"/>
      <c r="E457" s="19"/>
    </row>
    <row r="458" ht="15.75" customHeight="1">
      <c r="C458" s="19"/>
      <c r="E458" s="19"/>
    </row>
    <row r="459" ht="15.75" customHeight="1">
      <c r="C459" s="19"/>
      <c r="E459" s="19"/>
    </row>
    <row r="460" ht="15.75" customHeight="1">
      <c r="C460" s="19"/>
      <c r="E460" s="19"/>
    </row>
    <row r="461" ht="15.75" customHeight="1">
      <c r="C461" s="19"/>
      <c r="E461" s="19"/>
    </row>
    <row r="462" ht="15.75" customHeight="1">
      <c r="C462" s="19"/>
      <c r="E462" s="19"/>
    </row>
    <row r="463" ht="15.75" customHeight="1">
      <c r="C463" s="19"/>
      <c r="E463" s="19"/>
    </row>
    <row r="464" ht="15.75" customHeight="1">
      <c r="C464" s="19"/>
      <c r="E464" s="19"/>
    </row>
    <row r="465" ht="15.75" customHeight="1">
      <c r="C465" s="19"/>
      <c r="E465" s="19"/>
    </row>
    <row r="466" ht="15.75" customHeight="1">
      <c r="C466" s="19"/>
      <c r="E466" s="19"/>
    </row>
    <row r="467" ht="15.75" customHeight="1">
      <c r="C467" s="19"/>
      <c r="E467" s="19"/>
    </row>
    <row r="468" ht="15.75" customHeight="1">
      <c r="C468" s="19"/>
      <c r="E468" s="19"/>
    </row>
    <row r="469" ht="15.75" customHeight="1">
      <c r="C469" s="19"/>
      <c r="E469" s="19"/>
    </row>
    <row r="470" ht="15.75" customHeight="1">
      <c r="C470" s="19"/>
      <c r="E470" s="19"/>
    </row>
    <row r="471" ht="15.75" customHeight="1">
      <c r="C471" s="19"/>
      <c r="E471" s="19"/>
    </row>
    <row r="472" ht="15.75" customHeight="1">
      <c r="C472" s="19"/>
      <c r="E472" s="19"/>
    </row>
    <row r="473" ht="15.75" customHeight="1">
      <c r="C473" s="19"/>
      <c r="E473" s="19"/>
    </row>
    <row r="474" ht="15.75" customHeight="1">
      <c r="C474" s="19"/>
      <c r="E474" s="19"/>
    </row>
    <row r="475" ht="15.75" customHeight="1">
      <c r="C475" s="19"/>
      <c r="E475" s="19"/>
    </row>
    <row r="476" ht="15.75" customHeight="1">
      <c r="C476" s="19"/>
      <c r="E476" s="19"/>
    </row>
    <row r="477" ht="15.75" customHeight="1">
      <c r="C477" s="19"/>
      <c r="E477" s="19"/>
    </row>
    <row r="478" ht="15.75" customHeight="1">
      <c r="C478" s="19"/>
      <c r="E478" s="19"/>
    </row>
    <row r="479" ht="15.75" customHeight="1">
      <c r="C479" s="19"/>
      <c r="E479" s="19"/>
    </row>
    <row r="480" ht="15.75" customHeight="1">
      <c r="C480" s="19"/>
      <c r="E480" s="19"/>
    </row>
    <row r="481" ht="15.75" customHeight="1">
      <c r="C481" s="19"/>
      <c r="E481" s="19"/>
    </row>
    <row r="482" ht="15.75" customHeight="1">
      <c r="C482" s="19"/>
      <c r="E482" s="19"/>
    </row>
    <row r="483" ht="15.75" customHeight="1">
      <c r="C483" s="19"/>
      <c r="E483" s="19"/>
    </row>
    <row r="484" ht="15.75" customHeight="1">
      <c r="C484" s="19"/>
      <c r="E484" s="19"/>
    </row>
    <row r="485" ht="15.75" customHeight="1">
      <c r="C485" s="19"/>
      <c r="E485" s="19"/>
    </row>
    <row r="486" ht="15.75" customHeight="1">
      <c r="C486" s="19"/>
      <c r="E486" s="19"/>
    </row>
    <row r="487" ht="15.75" customHeight="1">
      <c r="C487" s="19"/>
      <c r="E487" s="19"/>
    </row>
    <row r="488" ht="15.75" customHeight="1">
      <c r="C488" s="19"/>
      <c r="E488" s="19"/>
    </row>
    <row r="489" ht="15.75" customHeight="1">
      <c r="C489" s="19"/>
      <c r="E489" s="19"/>
    </row>
    <row r="490" ht="15.75" customHeight="1">
      <c r="C490" s="19"/>
      <c r="E490" s="19"/>
    </row>
    <row r="491" ht="15.75" customHeight="1">
      <c r="C491" s="19"/>
      <c r="E491" s="19"/>
    </row>
    <row r="492" ht="15.75" customHeight="1">
      <c r="C492" s="19"/>
      <c r="E492" s="19"/>
    </row>
    <row r="493" ht="15.75" customHeight="1">
      <c r="C493" s="19"/>
      <c r="E493" s="19"/>
    </row>
    <row r="494" ht="15.75" customHeight="1">
      <c r="C494" s="19"/>
      <c r="E494" s="19"/>
    </row>
    <row r="495" ht="15.75" customHeight="1">
      <c r="C495" s="19"/>
      <c r="E495" s="19"/>
    </row>
    <row r="496" ht="15.75" customHeight="1">
      <c r="C496" s="19"/>
      <c r="E496" s="19"/>
    </row>
    <row r="497" ht="15.75" customHeight="1">
      <c r="C497" s="19"/>
      <c r="E497" s="19"/>
    </row>
    <row r="498" ht="15.75" customHeight="1">
      <c r="C498" s="19"/>
      <c r="E498" s="19"/>
    </row>
    <row r="499" ht="15.75" customHeight="1">
      <c r="C499" s="19"/>
      <c r="E499" s="19"/>
    </row>
    <row r="500" ht="15.75" customHeight="1">
      <c r="C500" s="19"/>
      <c r="E500" s="19"/>
    </row>
    <row r="501" ht="15.75" customHeight="1">
      <c r="C501" s="19"/>
      <c r="E501" s="19"/>
    </row>
    <row r="502" ht="15.75" customHeight="1">
      <c r="C502" s="19"/>
      <c r="E502" s="19"/>
    </row>
    <row r="503" ht="15.75" customHeight="1">
      <c r="C503" s="19"/>
      <c r="E503" s="19"/>
    </row>
    <row r="504" ht="15.75" customHeight="1">
      <c r="C504" s="19"/>
      <c r="E504" s="19"/>
    </row>
    <row r="505" ht="15.75" customHeight="1">
      <c r="C505" s="19"/>
      <c r="E505" s="19"/>
    </row>
    <row r="506" ht="15.75" customHeight="1">
      <c r="C506" s="19"/>
      <c r="E506" s="19"/>
    </row>
    <row r="507" ht="15.75" customHeight="1">
      <c r="C507" s="19"/>
      <c r="E507" s="19"/>
    </row>
    <row r="508" ht="15.75" customHeight="1">
      <c r="C508" s="19"/>
      <c r="E508" s="19"/>
    </row>
    <row r="509" ht="15.75" customHeight="1">
      <c r="C509" s="19"/>
      <c r="E509" s="19"/>
    </row>
    <row r="510" ht="15.75" customHeight="1">
      <c r="C510" s="19"/>
      <c r="E510" s="19"/>
    </row>
    <row r="511" ht="15.75" customHeight="1">
      <c r="C511" s="19"/>
      <c r="E511" s="19"/>
    </row>
    <row r="512" ht="15.75" customHeight="1">
      <c r="C512" s="19"/>
      <c r="E512" s="19"/>
    </row>
    <row r="513" ht="15.75" customHeight="1">
      <c r="C513" s="19"/>
      <c r="E513" s="19"/>
    </row>
    <row r="514" ht="15.75" customHeight="1">
      <c r="C514" s="19"/>
      <c r="E514" s="19"/>
    </row>
    <row r="515" ht="15.75" customHeight="1">
      <c r="C515" s="19"/>
      <c r="E515" s="19"/>
    </row>
    <row r="516" ht="15.75" customHeight="1">
      <c r="C516" s="19"/>
      <c r="E516" s="19"/>
    </row>
    <row r="517" ht="15.75" customHeight="1">
      <c r="C517" s="19"/>
      <c r="E517" s="19"/>
    </row>
    <row r="518" ht="15.75" customHeight="1">
      <c r="C518" s="19"/>
      <c r="E518" s="19"/>
    </row>
    <row r="519" ht="15.75" customHeight="1">
      <c r="C519" s="19"/>
      <c r="E519" s="19"/>
    </row>
    <row r="520" ht="15.75" customHeight="1">
      <c r="C520" s="19"/>
      <c r="E520" s="19"/>
    </row>
    <row r="521" ht="15.75" customHeight="1">
      <c r="C521" s="19"/>
      <c r="E521" s="19"/>
    </row>
    <row r="522" ht="15.75" customHeight="1">
      <c r="C522" s="19"/>
      <c r="E522" s="19"/>
    </row>
    <row r="523" ht="15.75" customHeight="1">
      <c r="C523" s="19"/>
      <c r="E523" s="19"/>
    </row>
    <row r="524" ht="15.75" customHeight="1">
      <c r="C524" s="19"/>
      <c r="E524" s="19"/>
    </row>
    <row r="525" ht="15.75" customHeight="1">
      <c r="C525" s="19"/>
      <c r="E525" s="19"/>
    </row>
    <row r="526" ht="15.75" customHeight="1">
      <c r="C526" s="19"/>
      <c r="E526" s="19"/>
    </row>
    <row r="527" ht="15.75" customHeight="1">
      <c r="C527" s="19"/>
      <c r="E527" s="19"/>
    </row>
    <row r="528" ht="15.75" customHeight="1">
      <c r="C528" s="19"/>
      <c r="E528" s="19"/>
    </row>
    <row r="529" ht="15.75" customHeight="1">
      <c r="C529" s="19"/>
      <c r="E529" s="19"/>
    </row>
    <row r="530" ht="15.75" customHeight="1">
      <c r="C530" s="19"/>
      <c r="E530" s="19"/>
    </row>
    <row r="531" ht="15.75" customHeight="1">
      <c r="C531" s="19"/>
      <c r="E531" s="19"/>
    </row>
    <row r="532" ht="15.75" customHeight="1">
      <c r="C532" s="19"/>
      <c r="E532" s="19"/>
    </row>
    <row r="533" ht="15.75" customHeight="1">
      <c r="C533" s="19"/>
      <c r="E533" s="19"/>
    </row>
    <row r="534" ht="15.75" customHeight="1">
      <c r="C534" s="19"/>
      <c r="E534" s="19"/>
    </row>
    <row r="535" ht="15.75" customHeight="1">
      <c r="C535" s="19"/>
      <c r="E535" s="19"/>
    </row>
    <row r="536" ht="15.75" customHeight="1">
      <c r="C536" s="19"/>
      <c r="E536" s="19"/>
    </row>
    <row r="537" ht="15.75" customHeight="1">
      <c r="C537" s="19"/>
      <c r="E537" s="19"/>
    </row>
    <row r="538" ht="15.75" customHeight="1">
      <c r="C538" s="19"/>
      <c r="E538" s="19"/>
    </row>
    <row r="539" ht="15.75" customHeight="1">
      <c r="C539" s="19"/>
      <c r="E539" s="19"/>
    </row>
    <row r="540" ht="15.75" customHeight="1">
      <c r="C540" s="19"/>
      <c r="E540" s="19"/>
    </row>
    <row r="541" ht="15.75" customHeight="1">
      <c r="C541" s="19"/>
      <c r="E541" s="19"/>
    </row>
    <row r="542" ht="15.75" customHeight="1">
      <c r="C542" s="19"/>
      <c r="E542" s="19"/>
    </row>
    <row r="543" ht="15.75" customHeight="1">
      <c r="C543" s="19"/>
      <c r="E543" s="19"/>
    </row>
    <row r="544" ht="15.75" customHeight="1">
      <c r="C544" s="19"/>
      <c r="E544" s="19"/>
    </row>
    <row r="545" ht="15.75" customHeight="1">
      <c r="C545" s="19"/>
      <c r="E545" s="19"/>
    </row>
    <row r="546" ht="15.75" customHeight="1">
      <c r="C546" s="19"/>
      <c r="E546" s="19"/>
    </row>
    <row r="547" ht="15.75" customHeight="1">
      <c r="C547" s="19"/>
      <c r="E547" s="19"/>
    </row>
    <row r="548" ht="15.75" customHeight="1">
      <c r="C548" s="19"/>
      <c r="E548" s="19"/>
    </row>
    <row r="549" ht="15.75" customHeight="1">
      <c r="C549" s="19"/>
      <c r="E549" s="19"/>
    </row>
    <row r="550" ht="15.75" customHeight="1">
      <c r="C550" s="19"/>
      <c r="E550" s="19"/>
    </row>
    <row r="551" ht="15.75" customHeight="1">
      <c r="C551" s="19"/>
      <c r="E551" s="19"/>
    </row>
    <row r="552" ht="15.75" customHeight="1">
      <c r="C552" s="19"/>
      <c r="E552" s="19"/>
    </row>
    <row r="553" ht="15.75" customHeight="1">
      <c r="C553" s="19"/>
      <c r="E553" s="19"/>
    </row>
    <row r="554" ht="15.75" customHeight="1">
      <c r="C554" s="19"/>
      <c r="E554" s="19"/>
    </row>
    <row r="555" ht="15.75" customHeight="1">
      <c r="C555" s="19"/>
      <c r="E555" s="19"/>
    </row>
    <row r="556" ht="15.75" customHeight="1">
      <c r="C556" s="19"/>
      <c r="E556" s="19"/>
    </row>
    <row r="557" ht="15.75" customHeight="1">
      <c r="C557" s="19"/>
      <c r="E557" s="19"/>
    </row>
    <row r="558" ht="15.75" customHeight="1">
      <c r="C558" s="19"/>
      <c r="E558" s="19"/>
    </row>
    <row r="559" ht="15.75" customHeight="1">
      <c r="C559" s="19"/>
      <c r="E559" s="19"/>
    </row>
    <row r="560" ht="15.75" customHeight="1">
      <c r="C560" s="19"/>
      <c r="E560" s="19"/>
    </row>
    <row r="561" ht="15.75" customHeight="1">
      <c r="C561" s="19"/>
      <c r="E561" s="19"/>
    </row>
    <row r="562" ht="15.75" customHeight="1">
      <c r="C562" s="19"/>
      <c r="E562" s="19"/>
    </row>
    <row r="563" ht="15.75" customHeight="1">
      <c r="C563" s="19"/>
      <c r="E563" s="19"/>
    </row>
    <row r="564" ht="15.75" customHeight="1">
      <c r="C564" s="19"/>
      <c r="E564" s="19"/>
    </row>
    <row r="565" ht="15.75" customHeight="1">
      <c r="C565" s="19"/>
      <c r="E565" s="19"/>
    </row>
    <row r="566" ht="15.75" customHeight="1">
      <c r="C566" s="19"/>
      <c r="E566" s="19"/>
    </row>
    <row r="567" ht="15.75" customHeight="1">
      <c r="C567" s="19"/>
      <c r="E567" s="19"/>
    </row>
    <row r="568" ht="15.75" customHeight="1">
      <c r="C568" s="19"/>
      <c r="E568" s="19"/>
    </row>
    <row r="569" ht="15.75" customHeight="1">
      <c r="C569" s="19"/>
      <c r="E569" s="19"/>
    </row>
    <row r="570" ht="15.75" customHeight="1">
      <c r="C570" s="19"/>
      <c r="E570" s="19"/>
    </row>
    <row r="571" ht="15.75" customHeight="1">
      <c r="C571" s="19"/>
      <c r="E571" s="19"/>
    </row>
    <row r="572" ht="15.75" customHeight="1">
      <c r="C572" s="19"/>
      <c r="E572" s="19"/>
    </row>
    <row r="573" ht="15.75" customHeight="1">
      <c r="C573" s="19"/>
      <c r="E573" s="19"/>
    </row>
    <row r="574" ht="15.75" customHeight="1">
      <c r="C574" s="19"/>
      <c r="E574" s="19"/>
    </row>
    <row r="575" ht="15.75" customHeight="1">
      <c r="C575" s="19"/>
      <c r="E575" s="19"/>
    </row>
    <row r="576" ht="15.75" customHeight="1">
      <c r="C576" s="19"/>
      <c r="E576" s="19"/>
    </row>
    <row r="577" ht="15.75" customHeight="1">
      <c r="C577" s="19"/>
      <c r="E577" s="19"/>
    </row>
    <row r="578" ht="15.75" customHeight="1">
      <c r="C578" s="19"/>
      <c r="E578" s="19"/>
    </row>
    <row r="579" ht="15.75" customHeight="1">
      <c r="C579" s="19"/>
      <c r="E579" s="19"/>
    </row>
    <row r="580" ht="15.75" customHeight="1">
      <c r="C580" s="19"/>
      <c r="E580" s="19"/>
    </row>
    <row r="581" ht="15.75" customHeight="1">
      <c r="C581" s="19"/>
      <c r="E581" s="19"/>
    </row>
    <row r="582" ht="15.75" customHeight="1">
      <c r="C582" s="19"/>
      <c r="E582" s="19"/>
    </row>
    <row r="583" ht="15.75" customHeight="1">
      <c r="C583" s="19"/>
      <c r="E583" s="19"/>
    </row>
    <row r="584" ht="15.75" customHeight="1">
      <c r="C584" s="19"/>
      <c r="E584" s="19"/>
    </row>
    <row r="585" ht="15.75" customHeight="1">
      <c r="C585" s="19"/>
      <c r="E585" s="19"/>
    </row>
    <row r="586" ht="15.75" customHeight="1">
      <c r="C586" s="19"/>
      <c r="E586" s="19"/>
    </row>
    <row r="587" ht="15.75" customHeight="1">
      <c r="C587" s="19"/>
      <c r="E587" s="19"/>
    </row>
    <row r="588" ht="15.75" customHeight="1">
      <c r="C588" s="19"/>
      <c r="E588" s="19"/>
    </row>
    <row r="589" ht="15.75" customHeight="1">
      <c r="C589" s="19"/>
      <c r="E589" s="19"/>
    </row>
    <row r="590" ht="15.75" customHeight="1">
      <c r="C590" s="19"/>
      <c r="E590" s="19"/>
    </row>
    <row r="591" ht="15.75" customHeight="1">
      <c r="C591" s="19"/>
      <c r="E591" s="19"/>
    </row>
    <row r="592" ht="15.75" customHeight="1">
      <c r="C592" s="19"/>
      <c r="E592" s="19"/>
    </row>
    <row r="593" ht="15.75" customHeight="1">
      <c r="C593" s="19"/>
      <c r="E593" s="19"/>
    </row>
    <row r="594" ht="15.75" customHeight="1">
      <c r="C594" s="19"/>
      <c r="E594" s="19"/>
    </row>
    <row r="595" ht="15.75" customHeight="1">
      <c r="C595" s="19"/>
      <c r="E595" s="19"/>
    </row>
    <row r="596" ht="15.75" customHeight="1">
      <c r="C596" s="19"/>
      <c r="E596" s="19"/>
    </row>
    <row r="597" ht="15.75" customHeight="1">
      <c r="C597" s="19"/>
      <c r="E597" s="19"/>
    </row>
    <row r="598" ht="15.75" customHeight="1">
      <c r="C598" s="19"/>
      <c r="E598" s="19"/>
    </row>
    <row r="599" ht="15.75" customHeight="1">
      <c r="C599" s="19"/>
      <c r="E599" s="19"/>
    </row>
    <row r="600" ht="15.75" customHeight="1">
      <c r="C600" s="19"/>
      <c r="E600" s="19"/>
    </row>
    <row r="601" ht="15.75" customHeight="1">
      <c r="C601" s="19"/>
      <c r="E601" s="19"/>
    </row>
    <row r="602" ht="15.75" customHeight="1">
      <c r="C602" s="19"/>
      <c r="E602" s="19"/>
    </row>
    <row r="603" ht="15.75" customHeight="1">
      <c r="C603" s="19"/>
      <c r="E603" s="19"/>
    </row>
    <row r="604" ht="15.75" customHeight="1">
      <c r="C604" s="19"/>
      <c r="E604" s="19"/>
    </row>
    <row r="605" ht="15.75" customHeight="1">
      <c r="C605" s="19"/>
      <c r="E605" s="19"/>
    </row>
    <row r="606" ht="15.75" customHeight="1">
      <c r="C606" s="19"/>
      <c r="E606" s="19"/>
    </row>
    <row r="607" ht="15.75" customHeight="1">
      <c r="C607" s="19"/>
      <c r="E607" s="19"/>
    </row>
    <row r="608" ht="15.75" customHeight="1">
      <c r="C608" s="19"/>
      <c r="E608" s="19"/>
    </row>
    <row r="609" ht="15.75" customHeight="1">
      <c r="C609" s="19"/>
      <c r="E609" s="19"/>
    </row>
    <row r="610" ht="15.75" customHeight="1">
      <c r="C610" s="19"/>
      <c r="E610" s="19"/>
    </row>
    <row r="611" ht="15.75" customHeight="1">
      <c r="C611" s="19"/>
      <c r="E611" s="19"/>
    </row>
    <row r="612" ht="15.75" customHeight="1">
      <c r="C612" s="19"/>
      <c r="E612" s="19"/>
    </row>
    <row r="613" ht="15.75" customHeight="1">
      <c r="C613" s="19"/>
      <c r="E613" s="19"/>
    </row>
    <row r="614" ht="15.75" customHeight="1">
      <c r="C614" s="19"/>
      <c r="E614" s="19"/>
    </row>
    <row r="615" ht="15.75" customHeight="1">
      <c r="C615" s="19"/>
      <c r="E615" s="19"/>
    </row>
    <row r="616" ht="15.75" customHeight="1">
      <c r="C616" s="19"/>
      <c r="E616" s="19"/>
    </row>
    <row r="617" ht="15.75" customHeight="1">
      <c r="C617" s="19"/>
      <c r="E617" s="19"/>
    </row>
    <row r="618" ht="15.75" customHeight="1">
      <c r="C618" s="19"/>
      <c r="E618" s="19"/>
    </row>
    <row r="619" ht="15.75" customHeight="1">
      <c r="C619" s="19"/>
      <c r="E619" s="19"/>
    </row>
    <row r="620" ht="15.75" customHeight="1">
      <c r="C620" s="19"/>
      <c r="E620" s="19"/>
    </row>
    <row r="621" ht="15.75" customHeight="1">
      <c r="C621" s="19"/>
      <c r="E621" s="19"/>
    </row>
    <row r="622" ht="15.75" customHeight="1">
      <c r="C622" s="19"/>
      <c r="E622" s="19"/>
    </row>
    <row r="623" ht="15.75" customHeight="1">
      <c r="C623" s="19"/>
      <c r="E623" s="19"/>
    </row>
    <row r="624" ht="15.75" customHeight="1">
      <c r="C624" s="19"/>
      <c r="E624" s="19"/>
    </row>
    <row r="625" ht="15.75" customHeight="1">
      <c r="C625" s="19"/>
      <c r="E625" s="19"/>
    </row>
    <row r="626" ht="15.75" customHeight="1">
      <c r="C626" s="19"/>
      <c r="E626" s="19"/>
    </row>
    <row r="627" ht="15.75" customHeight="1">
      <c r="C627" s="19"/>
      <c r="E627" s="19"/>
    </row>
    <row r="628" ht="15.75" customHeight="1">
      <c r="C628" s="19"/>
      <c r="E628" s="19"/>
    </row>
    <row r="629" ht="15.75" customHeight="1">
      <c r="C629" s="19"/>
      <c r="E629" s="19"/>
    </row>
    <row r="630" ht="15.75" customHeight="1">
      <c r="C630" s="19"/>
      <c r="E630" s="19"/>
    </row>
    <row r="631" ht="15.75" customHeight="1">
      <c r="C631" s="19"/>
      <c r="E631" s="19"/>
    </row>
    <row r="632" ht="15.75" customHeight="1">
      <c r="C632" s="19"/>
      <c r="E632" s="19"/>
    </row>
    <row r="633" ht="15.75" customHeight="1">
      <c r="C633" s="19"/>
      <c r="E633" s="19"/>
    </row>
    <row r="634" ht="15.75" customHeight="1">
      <c r="C634" s="19"/>
      <c r="E634" s="19"/>
    </row>
    <row r="635" ht="15.75" customHeight="1">
      <c r="C635" s="19"/>
      <c r="E635" s="19"/>
    </row>
    <row r="636" ht="15.75" customHeight="1">
      <c r="C636" s="19"/>
      <c r="E636" s="19"/>
    </row>
    <row r="637" ht="15.75" customHeight="1">
      <c r="C637" s="19"/>
      <c r="E637" s="19"/>
    </row>
    <row r="638" ht="15.75" customHeight="1">
      <c r="C638" s="19"/>
      <c r="E638" s="19"/>
    </row>
    <row r="639" ht="15.75" customHeight="1">
      <c r="C639" s="19"/>
      <c r="E639" s="19"/>
    </row>
    <row r="640" ht="15.75" customHeight="1">
      <c r="C640" s="19"/>
      <c r="E640" s="19"/>
    </row>
    <row r="641" ht="15.75" customHeight="1">
      <c r="C641" s="19"/>
      <c r="E641" s="19"/>
    </row>
    <row r="642" ht="15.75" customHeight="1">
      <c r="C642" s="19"/>
      <c r="E642" s="19"/>
    </row>
    <row r="643" ht="15.75" customHeight="1">
      <c r="C643" s="19"/>
      <c r="E643" s="19"/>
    </row>
    <row r="644" ht="15.75" customHeight="1">
      <c r="C644" s="19"/>
      <c r="E644" s="19"/>
    </row>
    <row r="645" ht="15.75" customHeight="1">
      <c r="C645" s="19"/>
      <c r="E645" s="19"/>
    </row>
    <row r="646" ht="15.75" customHeight="1">
      <c r="C646" s="19"/>
      <c r="E646" s="19"/>
    </row>
    <row r="647" ht="15.75" customHeight="1">
      <c r="C647" s="19"/>
      <c r="E647" s="19"/>
    </row>
    <row r="648" ht="15.75" customHeight="1">
      <c r="C648" s="19"/>
      <c r="E648" s="19"/>
    </row>
    <row r="649" ht="15.75" customHeight="1">
      <c r="C649" s="19"/>
      <c r="E649" s="19"/>
    </row>
    <row r="650" ht="15.75" customHeight="1">
      <c r="C650" s="19"/>
      <c r="E650" s="19"/>
    </row>
    <row r="651" ht="15.75" customHeight="1">
      <c r="C651" s="19"/>
      <c r="E651" s="19"/>
    </row>
    <row r="652" ht="15.75" customHeight="1">
      <c r="C652" s="19"/>
      <c r="E652" s="19"/>
    </row>
    <row r="653" ht="15.75" customHeight="1">
      <c r="C653" s="19"/>
      <c r="E653" s="19"/>
    </row>
    <row r="654" ht="15.75" customHeight="1">
      <c r="C654" s="19"/>
      <c r="E654" s="19"/>
    </row>
    <row r="655" ht="15.75" customHeight="1">
      <c r="C655" s="19"/>
      <c r="E655" s="19"/>
    </row>
    <row r="656" ht="15.75" customHeight="1">
      <c r="C656" s="19"/>
      <c r="E656" s="19"/>
    </row>
    <row r="657" ht="15.75" customHeight="1">
      <c r="C657" s="19"/>
      <c r="E657" s="19"/>
    </row>
    <row r="658" ht="15.75" customHeight="1">
      <c r="C658" s="19"/>
      <c r="E658" s="19"/>
    </row>
    <row r="659" ht="15.75" customHeight="1">
      <c r="C659" s="19"/>
      <c r="E659" s="19"/>
    </row>
    <row r="660" ht="15.75" customHeight="1">
      <c r="C660" s="19"/>
      <c r="E660" s="19"/>
    </row>
    <row r="661" ht="15.75" customHeight="1">
      <c r="C661" s="19"/>
      <c r="E661" s="19"/>
    </row>
    <row r="662" ht="15.75" customHeight="1">
      <c r="C662" s="19"/>
      <c r="E662" s="19"/>
    </row>
    <row r="663" ht="15.75" customHeight="1">
      <c r="C663" s="19"/>
      <c r="E663" s="19"/>
    </row>
    <row r="664" ht="15.75" customHeight="1">
      <c r="C664" s="19"/>
      <c r="E664" s="19"/>
    </row>
    <row r="665" ht="15.75" customHeight="1">
      <c r="C665" s="19"/>
      <c r="E665" s="19"/>
    </row>
    <row r="666" ht="15.75" customHeight="1">
      <c r="C666" s="19"/>
      <c r="E666" s="19"/>
    </row>
    <row r="667" ht="15.75" customHeight="1">
      <c r="C667" s="19"/>
      <c r="E667" s="19"/>
    </row>
    <row r="668" ht="15.75" customHeight="1">
      <c r="C668" s="19"/>
      <c r="E668" s="19"/>
    </row>
    <row r="669" ht="15.75" customHeight="1">
      <c r="C669" s="19"/>
      <c r="E669" s="19"/>
    </row>
    <row r="670" ht="15.75" customHeight="1">
      <c r="C670" s="19"/>
      <c r="E670" s="19"/>
    </row>
    <row r="671" ht="15.75" customHeight="1">
      <c r="C671" s="19"/>
      <c r="E671" s="19"/>
    </row>
    <row r="672" ht="15.75" customHeight="1">
      <c r="C672" s="19"/>
      <c r="E672" s="19"/>
    </row>
    <row r="673" ht="15.75" customHeight="1">
      <c r="C673" s="19"/>
      <c r="E673" s="19"/>
    </row>
    <row r="674" ht="15.75" customHeight="1">
      <c r="C674" s="19"/>
      <c r="E674" s="19"/>
    </row>
    <row r="675" ht="15.75" customHeight="1">
      <c r="C675" s="19"/>
      <c r="E675" s="19"/>
    </row>
    <row r="676" ht="15.75" customHeight="1">
      <c r="C676" s="19"/>
      <c r="E676" s="19"/>
    </row>
    <row r="677" ht="15.75" customHeight="1">
      <c r="C677" s="19"/>
      <c r="E677" s="19"/>
    </row>
    <row r="678" ht="15.75" customHeight="1">
      <c r="C678" s="19"/>
      <c r="E678" s="19"/>
    </row>
    <row r="679" ht="15.75" customHeight="1">
      <c r="C679" s="19"/>
      <c r="E679" s="19"/>
    </row>
    <row r="680" ht="15.75" customHeight="1">
      <c r="C680" s="19"/>
      <c r="E680" s="19"/>
    </row>
    <row r="681" ht="15.75" customHeight="1">
      <c r="C681" s="19"/>
      <c r="E681" s="19"/>
    </row>
    <row r="682" ht="15.75" customHeight="1">
      <c r="C682" s="19"/>
      <c r="E682" s="19"/>
    </row>
    <row r="683" ht="15.75" customHeight="1">
      <c r="C683" s="19"/>
      <c r="E683" s="19"/>
    </row>
    <row r="684" ht="15.75" customHeight="1">
      <c r="C684" s="19"/>
      <c r="E684" s="19"/>
    </row>
    <row r="685" ht="15.75" customHeight="1">
      <c r="C685" s="19"/>
      <c r="E685" s="19"/>
    </row>
    <row r="686" ht="15.75" customHeight="1">
      <c r="C686" s="19"/>
      <c r="E686" s="19"/>
    </row>
    <row r="687" ht="15.75" customHeight="1">
      <c r="C687" s="19"/>
      <c r="E687" s="19"/>
    </row>
    <row r="688" ht="15.75" customHeight="1">
      <c r="C688" s="19"/>
      <c r="E688" s="19"/>
    </row>
    <row r="689" ht="15.75" customHeight="1">
      <c r="C689" s="19"/>
      <c r="E689" s="19"/>
    </row>
    <row r="690" ht="15.75" customHeight="1">
      <c r="C690" s="19"/>
      <c r="E690" s="19"/>
    </row>
    <row r="691" ht="15.75" customHeight="1">
      <c r="C691" s="19"/>
      <c r="E691" s="19"/>
    </row>
    <row r="692" ht="15.75" customHeight="1">
      <c r="C692" s="19"/>
      <c r="E692" s="19"/>
    </row>
    <row r="693" ht="15.75" customHeight="1">
      <c r="C693" s="19"/>
      <c r="E693" s="19"/>
    </row>
    <row r="694" ht="15.75" customHeight="1">
      <c r="C694" s="19"/>
      <c r="E694" s="19"/>
    </row>
    <row r="695" ht="15.75" customHeight="1">
      <c r="C695" s="19"/>
      <c r="E695" s="19"/>
    </row>
    <row r="696" ht="15.75" customHeight="1">
      <c r="C696" s="19"/>
      <c r="E696" s="19"/>
    </row>
    <row r="697" ht="15.75" customHeight="1">
      <c r="C697" s="19"/>
      <c r="E697" s="19"/>
    </row>
    <row r="698" ht="15.75" customHeight="1">
      <c r="C698" s="19"/>
      <c r="E698" s="19"/>
    </row>
    <row r="699" ht="15.75" customHeight="1">
      <c r="C699" s="19"/>
      <c r="E699" s="19"/>
    </row>
    <row r="700" ht="15.75" customHeight="1">
      <c r="C700" s="19"/>
      <c r="E700" s="19"/>
    </row>
    <row r="701" ht="15.75" customHeight="1">
      <c r="C701" s="19"/>
      <c r="E701" s="19"/>
    </row>
    <row r="702" ht="15.75" customHeight="1">
      <c r="C702" s="19"/>
      <c r="E702" s="19"/>
    </row>
    <row r="703" ht="15.75" customHeight="1">
      <c r="C703" s="19"/>
      <c r="E703" s="19"/>
    </row>
    <row r="704" ht="15.75" customHeight="1">
      <c r="C704" s="19"/>
      <c r="E704" s="19"/>
    </row>
    <row r="705" ht="15.75" customHeight="1">
      <c r="C705" s="19"/>
      <c r="E705" s="19"/>
    </row>
    <row r="706" ht="15.75" customHeight="1">
      <c r="C706" s="19"/>
      <c r="E706" s="19"/>
    </row>
    <row r="707" ht="15.75" customHeight="1">
      <c r="C707" s="19"/>
      <c r="E707" s="19"/>
    </row>
    <row r="708" ht="15.75" customHeight="1">
      <c r="C708" s="19"/>
      <c r="E708" s="19"/>
    </row>
    <row r="709" ht="15.75" customHeight="1">
      <c r="C709" s="19"/>
      <c r="E709" s="19"/>
    </row>
    <row r="710" ht="15.75" customHeight="1">
      <c r="C710" s="19"/>
      <c r="E710" s="19"/>
    </row>
    <row r="711" ht="15.75" customHeight="1">
      <c r="C711" s="19"/>
      <c r="E711" s="19"/>
    </row>
    <row r="712" ht="15.75" customHeight="1">
      <c r="C712" s="19"/>
      <c r="E712" s="19"/>
    </row>
    <row r="713" ht="15.75" customHeight="1">
      <c r="C713" s="19"/>
      <c r="E713" s="19"/>
    </row>
    <row r="714" ht="15.75" customHeight="1">
      <c r="C714" s="19"/>
      <c r="E714" s="19"/>
    </row>
    <row r="715" ht="15.75" customHeight="1">
      <c r="C715" s="19"/>
      <c r="E715" s="19"/>
    </row>
    <row r="716" ht="15.75" customHeight="1">
      <c r="C716" s="19"/>
      <c r="E716" s="19"/>
    </row>
    <row r="717" ht="15.75" customHeight="1">
      <c r="C717" s="19"/>
      <c r="E717" s="19"/>
    </row>
    <row r="718" ht="15.75" customHeight="1">
      <c r="C718" s="19"/>
      <c r="E718" s="19"/>
    </row>
    <row r="719" ht="15.75" customHeight="1">
      <c r="C719" s="19"/>
      <c r="E719" s="19"/>
    </row>
    <row r="720" ht="15.75" customHeight="1">
      <c r="C720" s="19"/>
      <c r="E720" s="19"/>
    </row>
    <row r="721" ht="15.75" customHeight="1">
      <c r="C721" s="19"/>
      <c r="E721" s="19"/>
    </row>
    <row r="722" ht="15.75" customHeight="1">
      <c r="C722" s="19"/>
      <c r="E722" s="19"/>
    </row>
    <row r="723" ht="15.75" customHeight="1">
      <c r="C723" s="19"/>
      <c r="E723" s="19"/>
    </row>
    <row r="724" ht="15.75" customHeight="1">
      <c r="C724" s="19"/>
      <c r="E724" s="19"/>
    </row>
    <row r="725" ht="15.75" customHeight="1">
      <c r="C725" s="19"/>
      <c r="E725" s="19"/>
    </row>
    <row r="726" ht="15.75" customHeight="1">
      <c r="C726" s="19"/>
      <c r="E726" s="19"/>
    </row>
    <row r="727" ht="15.75" customHeight="1">
      <c r="C727" s="19"/>
      <c r="E727" s="19"/>
    </row>
    <row r="728" ht="15.75" customHeight="1">
      <c r="C728" s="19"/>
      <c r="E728" s="19"/>
    </row>
    <row r="729" ht="15.75" customHeight="1">
      <c r="C729" s="19"/>
      <c r="E729" s="19"/>
    </row>
    <row r="730" ht="15.75" customHeight="1">
      <c r="C730" s="19"/>
      <c r="E730" s="19"/>
    </row>
    <row r="731" ht="15.75" customHeight="1">
      <c r="C731" s="19"/>
      <c r="E731" s="19"/>
    </row>
    <row r="732" ht="15.75" customHeight="1">
      <c r="C732" s="19"/>
      <c r="E732" s="19"/>
    </row>
    <row r="733" ht="15.75" customHeight="1">
      <c r="C733" s="19"/>
      <c r="E733" s="19"/>
    </row>
    <row r="734" ht="15.75" customHeight="1">
      <c r="C734" s="19"/>
      <c r="E734" s="19"/>
    </row>
    <row r="735" ht="15.75" customHeight="1">
      <c r="C735" s="19"/>
      <c r="E735" s="19"/>
    </row>
    <row r="736" ht="15.75" customHeight="1">
      <c r="C736" s="19"/>
      <c r="E736" s="19"/>
    </row>
    <row r="737" ht="15.75" customHeight="1">
      <c r="C737" s="19"/>
      <c r="E737" s="19"/>
    </row>
    <row r="738" ht="15.75" customHeight="1">
      <c r="C738" s="19"/>
      <c r="E738" s="19"/>
    </row>
    <row r="739" ht="15.75" customHeight="1">
      <c r="C739" s="19"/>
      <c r="E739" s="19"/>
    </row>
    <row r="740" ht="15.75" customHeight="1">
      <c r="C740" s="19"/>
      <c r="E740" s="19"/>
    </row>
    <row r="741" ht="15.75" customHeight="1">
      <c r="C741" s="19"/>
      <c r="E741" s="19"/>
    </row>
    <row r="742" ht="15.75" customHeight="1">
      <c r="C742" s="19"/>
      <c r="E742" s="19"/>
    </row>
    <row r="743" ht="15.75" customHeight="1">
      <c r="C743" s="19"/>
      <c r="E743" s="19"/>
    </row>
    <row r="744" ht="15.75" customHeight="1">
      <c r="C744" s="19"/>
      <c r="E744" s="19"/>
    </row>
    <row r="745" ht="15.75" customHeight="1">
      <c r="C745" s="19"/>
      <c r="E745" s="19"/>
    </row>
    <row r="746" ht="15.75" customHeight="1">
      <c r="C746" s="19"/>
      <c r="E746" s="19"/>
    </row>
    <row r="747" ht="15.75" customHeight="1">
      <c r="C747" s="19"/>
      <c r="E747" s="19"/>
    </row>
    <row r="748" ht="15.75" customHeight="1">
      <c r="C748" s="19"/>
      <c r="E748" s="19"/>
    </row>
    <row r="749" ht="15.75" customHeight="1">
      <c r="C749" s="19"/>
      <c r="E749" s="19"/>
    </row>
    <row r="750" ht="15.75" customHeight="1">
      <c r="C750" s="19"/>
      <c r="E750" s="19"/>
    </row>
    <row r="751" ht="15.75" customHeight="1">
      <c r="C751" s="19"/>
      <c r="E751" s="19"/>
    </row>
    <row r="752" ht="15.75" customHeight="1">
      <c r="C752" s="19"/>
      <c r="E752" s="19"/>
    </row>
    <row r="753" ht="15.75" customHeight="1">
      <c r="C753" s="19"/>
      <c r="E753" s="19"/>
    </row>
    <row r="754" ht="15.75" customHeight="1">
      <c r="C754" s="19"/>
      <c r="E754" s="19"/>
    </row>
    <row r="755" ht="15.75" customHeight="1">
      <c r="C755" s="19"/>
      <c r="E755" s="19"/>
    </row>
    <row r="756" ht="15.75" customHeight="1">
      <c r="C756" s="19"/>
      <c r="E756" s="19"/>
    </row>
    <row r="757" ht="15.75" customHeight="1">
      <c r="C757" s="19"/>
      <c r="E757" s="19"/>
    </row>
    <row r="758" ht="15.75" customHeight="1">
      <c r="C758" s="19"/>
      <c r="E758" s="19"/>
    </row>
    <row r="759" ht="15.75" customHeight="1">
      <c r="C759" s="19"/>
      <c r="E759" s="19"/>
    </row>
    <row r="760" ht="15.75" customHeight="1">
      <c r="C760" s="19"/>
      <c r="E760" s="19"/>
    </row>
    <row r="761" ht="15.75" customHeight="1">
      <c r="C761" s="19"/>
      <c r="E761" s="19"/>
    </row>
    <row r="762" ht="15.75" customHeight="1">
      <c r="C762" s="19"/>
      <c r="E762" s="19"/>
    </row>
    <row r="763" ht="15.75" customHeight="1">
      <c r="C763" s="19"/>
      <c r="E763" s="19"/>
    </row>
    <row r="764" ht="15.75" customHeight="1">
      <c r="C764" s="19"/>
      <c r="E764" s="19"/>
    </row>
    <row r="765" ht="15.75" customHeight="1">
      <c r="C765" s="19"/>
      <c r="E765" s="19"/>
    </row>
    <row r="766" ht="15.75" customHeight="1">
      <c r="C766" s="19"/>
      <c r="E766" s="19"/>
    </row>
    <row r="767" ht="15.75" customHeight="1">
      <c r="C767" s="19"/>
      <c r="E767" s="19"/>
    </row>
    <row r="768" ht="15.75" customHeight="1">
      <c r="C768" s="19"/>
      <c r="E768" s="19"/>
    </row>
    <row r="769" ht="15.75" customHeight="1">
      <c r="C769" s="19"/>
      <c r="E769" s="19"/>
    </row>
    <row r="770" ht="15.75" customHeight="1">
      <c r="C770" s="19"/>
      <c r="E770" s="19"/>
    </row>
    <row r="771" ht="15.75" customHeight="1">
      <c r="C771" s="19"/>
      <c r="E771" s="19"/>
    </row>
    <row r="772" ht="15.75" customHeight="1">
      <c r="C772" s="19"/>
      <c r="E772" s="19"/>
    </row>
    <row r="773" ht="15.75" customHeight="1">
      <c r="C773" s="19"/>
      <c r="E773" s="19"/>
    </row>
    <row r="774" ht="15.75" customHeight="1">
      <c r="C774" s="19"/>
      <c r="E774" s="19"/>
    </row>
    <row r="775" ht="15.75" customHeight="1">
      <c r="C775" s="19"/>
      <c r="E775" s="19"/>
    </row>
    <row r="776" ht="15.75" customHeight="1">
      <c r="C776" s="19"/>
      <c r="E776" s="19"/>
    </row>
    <row r="777" ht="15.75" customHeight="1">
      <c r="C777" s="19"/>
      <c r="E777" s="19"/>
    </row>
    <row r="778" ht="15.75" customHeight="1">
      <c r="C778" s="19"/>
      <c r="E778" s="19"/>
    </row>
    <row r="779" ht="15.75" customHeight="1">
      <c r="C779" s="19"/>
      <c r="E779" s="19"/>
    </row>
    <row r="780" ht="15.75" customHeight="1">
      <c r="C780" s="19"/>
      <c r="E780" s="19"/>
    </row>
    <row r="781" ht="15.75" customHeight="1">
      <c r="C781" s="19"/>
      <c r="E781" s="19"/>
    </row>
    <row r="782" ht="15.75" customHeight="1">
      <c r="C782" s="19"/>
      <c r="E782" s="19"/>
    </row>
    <row r="783" ht="15.75" customHeight="1">
      <c r="C783" s="19"/>
      <c r="E783" s="19"/>
    </row>
    <row r="784" ht="15.75" customHeight="1">
      <c r="C784" s="19"/>
      <c r="E784" s="19"/>
    </row>
    <row r="785" ht="15.75" customHeight="1">
      <c r="C785" s="19"/>
      <c r="E785" s="19"/>
    </row>
    <row r="786" ht="15.75" customHeight="1">
      <c r="C786" s="19"/>
      <c r="E786" s="19"/>
    </row>
    <row r="787" ht="15.75" customHeight="1">
      <c r="C787" s="19"/>
      <c r="E787" s="19"/>
    </row>
    <row r="788" ht="15.75" customHeight="1">
      <c r="C788" s="19"/>
      <c r="E788" s="19"/>
    </row>
    <row r="789" ht="15.75" customHeight="1">
      <c r="C789" s="19"/>
      <c r="E789" s="19"/>
    </row>
    <row r="790" ht="15.75" customHeight="1">
      <c r="C790" s="19"/>
      <c r="E790" s="19"/>
    </row>
    <row r="791" ht="15.75" customHeight="1">
      <c r="C791" s="19"/>
      <c r="E791" s="19"/>
    </row>
    <row r="792" ht="15.75" customHeight="1">
      <c r="C792" s="19"/>
      <c r="E792" s="19"/>
    </row>
    <row r="793" ht="15.75" customHeight="1">
      <c r="C793" s="19"/>
      <c r="E793" s="19"/>
    </row>
    <row r="794" ht="15.75" customHeight="1">
      <c r="C794" s="19"/>
      <c r="E794" s="19"/>
    </row>
    <row r="795" ht="15.75" customHeight="1">
      <c r="C795" s="19"/>
      <c r="E795" s="19"/>
    </row>
    <row r="796" ht="15.75" customHeight="1">
      <c r="C796" s="19"/>
      <c r="E796" s="19"/>
    </row>
    <row r="797" ht="15.75" customHeight="1">
      <c r="C797" s="19"/>
      <c r="E797" s="19"/>
    </row>
    <row r="798" ht="15.75" customHeight="1">
      <c r="C798" s="19"/>
      <c r="E798" s="19"/>
    </row>
    <row r="799" ht="15.75" customHeight="1">
      <c r="C799" s="19"/>
      <c r="E799" s="19"/>
    </row>
    <row r="800" ht="15.75" customHeight="1">
      <c r="C800" s="19"/>
      <c r="E800" s="19"/>
    </row>
    <row r="801" ht="15.75" customHeight="1">
      <c r="C801" s="19"/>
      <c r="E801" s="19"/>
    </row>
    <row r="802" ht="15.75" customHeight="1">
      <c r="C802" s="19"/>
      <c r="E802" s="19"/>
    </row>
    <row r="803" ht="15.75" customHeight="1">
      <c r="C803" s="19"/>
      <c r="E803" s="19"/>
    </row>
    <row r="804" ht="15.75" customHeight="1">
      <c r="C804" s="19"/>
      <c r="E804" s="19"/>
    </row>
    <row r="805" ht="15.75" customHeight="1">
      <c r="C805" s="19"/>
      <c r="E805" s="19"/>
    </row>
    <row r="806" ht="15.75" customHeight="1">
      <c r="C806" s="19"/>
      <c r="E806" s="19"/>
    </row>
    <row r="807" ht="15.75" customHeight="1">
      <c r="C807" s="19"/>
      <c r="E807" s="19"/>
    </row>
    <row r="808" ht="15.75" customHeight="1">
      <c r="C808" s="19"/>
      <c r="E808" s="19"/>
    </row>
    <row r="809" ht="15.75" customHeight="1">
      <c r="C809" s="19"/>
      <c r="E809" s="19"/>
    </row>
    <row r="810" ht="15.75" customHeight="1">
      <c r="C810" s="19"/>
      <c r="E810" s="19"/>
    </row>
    <row r="811" ht="15.75" customHeight="1">
      <c r="C811" s="19"/>
      <c r="E811" s="19"/>
    </row>
    <row r="812" ht="15.75" customHeight="1">
      <c r="C812" s="19"/>
      <c r="E812" s="19"/>
    </row>
    <row r="813" ht="15.75" customHeight="1">
      <c r="C813" s="19"/>
      <c r="E813" s="19"/>
    </row>
    <row r="814" ht="15.75" customHeight="1">
      <c r="C814" s="19"/>
      <c r="E814" s="19"/>
    </row>
    <row r="815" ht="15.75" customHeight="1">
      <c r="C815" s="19"/>
      <c r="E815" s="19"/>
    </row>
    <row r="816" ht="15.75" customHeight="1">
      <c r="C816" s="19"/>
      <c r="E816" s="19"/>
    </row>
    <row r="817" ht="15.75" customHeight="1">
      <c r="C817" s="19"/>
      <c r="E817" s="19"/>
    </row>
    <row r="818" ht="15.75" customHeight="1">
      <c r="C818" s="19"/>
      <c r="E818" s="19"/>
    </row>
    <row r="819" ht="15.75" customHeight="1">
      <c r="C819" s="19"/>
      <c r="E819" s="19"/>
    </row>
    <row r="820" ht="15.75" customHeight="1">
      <c r="C820" s="19"/>
      <c r="E820" s="19"/>
    </row>
    <row r="821" ht="15.75" customHeight="1">
      <c r="C821" s="19"/>
      <c r="E821" s="19"/>
    </row>
    <row r="822" ht="15.75" customHeight="1">
      <c r="C822" s="19"/>
      <c r="E822" s="19"/>
    </row>
    <row r="823" ht="15.75" customHeight="1">
      <c r="C823" s="19"/>
      <c r="E823" s="19"/>
    </row>
    <row r="824" ht="15.75" customHeight="1">
      <c r="C824" s="19"/>
      <c r="E824" s="19"/>
    </row>
    <row r="825" ht="15.75" customHeight="1">
      <c r="C825" s="19"/>
      <c r="E825" s="19"/>
    </row>
    <row r="826" ht="15.75" customHeight="1">
      <c r="C826" s="19"/>
      <c r="E826" s="19"/>
    </row>
    <row r="827" ht="15.75" customHeight="1">
      <c r="C827" s="19"/>
      <c r="E827" s="19"/>
    </row>
    <row r="828" ht="15.75" customHeight="1">
      <c r="C828" s="19"/>
      <c r="E828" s="19"/>
    </row>
    <row r="829" ht="15.75" customHeight="1">
      <c r="C829" s="19"/>
      <c r="E829" s="19"/>
    </row>
    <row r="830" ht="15.75" customHeight="1">
      <c r="C830" s="19"/>
      <c r="E830" s="19"/>
    </row>
    <row r="831" ht="15.75" customHeight="1">
      <c r="C831" s="19"/>
      <c r="E831" s="19"/>
    </row>
    <row r="832" ht="15.75" customHeight="1">
      <c r="C832" s="19"/>
      <c r="E832" s="19"/>
    </row>
    <row r="833" ht="15.75" customHeight="1">
      <c r="C833" s="19"/>
      <c r="E833" s="19"/>
    </row>
    <row r="834" ht="15.75" customHeight="1">
      <c r="C834" s="19"/>
      <c r="E834" s="19"/>
    </row>
    <row r="835" ht="15.75" customHeight="1">
      <c r="C835" s="19"/>
      <c r="E835" s="19"/>
    </row>
    <row r="836" ht="15.75" customHeight="1">
      <c r="C836" s="19"/>
      <c r="E836" s="19"/>
    </row>
    <row r="837" ht="15.75" customHeight="1">
      <c r="C837" s="19"/>
      <c r="E837" s="19"/>
    </row>
    <row r="838" ht="15.75" customHeight="1">
      <c r="C838" s="19"/>
      <c r="E838" s="19"/>
    </row>
    <row r="839" ht="15.75" customHeight="1">
      <c r="C839" s="19"/>
      <c r="E839" s="19"/>
    </row>
    <row r="840" ht="15.75" customHeight="1">
      <c r="C840" s="19"/>
      <c r="E840" s="19"/>
    </row>
    <row r="841" ht="15.75" customHeight="1">
      <c r="C841" s="19"/>
      <c r="E841" s="19"/>
    </row>
    <row r="842" ht="15.75" customHeight="1">
      <c r="C842" s="19"/>
      <c r="E842" s="19"/>
    </row>
    <row r="843" ht="15.75" customHeight="1">
      <c r="C843" s="19"/>
      <c r="E843" s="19"/>
    </row>
    <row r="844" ht="15.75" customHeight="1">
      <c r="C844" s="19"/>
      <c r="E844" s="19"/>
    </row>
    <row r="845" ht="15.75" customHeight="1">
      <c r="C845" s="19"/>
      <c r="E845" s="19"/>
    </row>
    <row r="846" ht="15.75" customHeight="1">
      <c r="C846" s="19"/>
      <c r="E846" s="19"/>
    </row>
    <row r="847" ht="15.75" customHeight="1">
      <c r="C847" s="19"/>
      <c r="E847" s="19"/>
    </row>
    <row r="848" ht="15.75" customHeight="1">
      <c r="C848" s="19"/>
      <c r="E848" s="19"/>
    </row>
    <row r="849" ht="15.75" customHeight="1">
      <c r="C849" s="19"/>
      <c r="E849" s="19"/>
    </row>
    <row r="850" ht="15.75" customHeight="1">
      <c r="C850" s="19"/>
      <c r="E850" s="19"/>
    </row>
    <row r="851" ht="15.75" customHeight="1">
      <c r="C851" s="19"/>
      <c r="E851" s="19"/>
    </row>
    <row r="852" ht="15.75" customHeight="1">
      <c r="C852" s="19"/>
      <c r="E852" s="19"/>
    </row>
    <row r="853" ht="15.75" customHeight="1">
      <c r="C853" s="19"/>
      <c r="E853" s="19"/>
    </row>
    <row r="854" ht="15.75" customHeight="1">
      <c r="C854" s="19"/>
      <c r="E854" s="19"/>
    </row>
    <row r="855" ht="15.75" customHeight="1">
      <c r="C855" s="19"/>
      <c r="E855" s="19"/>
    </row>
    <row r="856" ht="15.75" customHeight="1">
      <c r="C856" s="19"/>
      <c r="E856" s="19"/>
    </row>
    <row r="857" ht="15.75" customHeight="1">
      <c r="C857" s="19"/>
      <c r="E857" s="19"/>
    </row>
    <row r="858" ht="15.75" customHeight="1">
      <c r="C858" s="19"/>
      <c r="E858" s="19"/>
    </row>
    <row r="859" ht="15.75" customHeight="1">
      <c r="C859" s="19"/>
      <c r="E859" s="19"/>
    </row>
    <row r="860" ht="15.75" customHeight="1">
      <c r="C860" s="19"/>
      <c r="E860" s="19"/>
    </row>
    <row r="861" ht="15.75" customHeight="1">
      <c r="C861" s="19"/>
      <c r="E861" s="19"/>
    </row>
    <row r="862" ht="15.75" customHeight="1">
      <c r="C862" s="19"/>
      <c r="E862" s="19"/>
    </row>
    <row r="863" ht="15.75" customHeight="1">
      <c r="C863" s="19"/>
      <c r="E863" s="19"/>
    </row>
    <row r="864" ht="15.75" customHeight="1">
      <c r="C864" s="19"/>
      <c r="E864" s="19"/>
    </row>
    <row r="865" ht="15.75" customHeight="1">
      <c r="C865" s="19"/>
      <c r="E865" s="19"/>
    </row>
    <row r="866" ht="15.75" customHeight="1">
      <c r="C866" s="19"/>
      <c r="E866" s="19"/>
    </row>
    <row r="867" ht="15.75" customHeight="1">
      <c r="C867" s="19"/>
      <c r="E867" s="19"/>
    </row>
    <row r="868" ht="15.75" customHeight="1">
      <c r="C868" s="19"/>
      <c r="E868" s="19"/>
    </row>
    <row r="869" ht="15.75" customHeight="1">
      <c r="C869" s="19"/>
      <c r="E869" s="19"/>
    </row>
    <row r="870" ht="15.75" customHeight="1">
      <c r="C870" s="19"/>
      <c r="E870" s="19"/>
    </row>
    <row r="871" ht="15.75" customHeight="1">
      <c r="C871" s="19"/>
      <c r="E871" s="19"/>
    </row>
    <row r="872" ht="15.75" customHeight="1">
      <c r="C872" s="19"/>
      <c r="E872" s="19"/>
    </row>
    <row r="873" ht="15.75" customHeight="1">
      <c r="C873" s="19"/>
      <c r="E873" s="19"/>
    </row>
    <row r="874" ht="15.75" customHeight="1">
      <c r="C874" s="19"/>
      <c r="E874" s="19"/>
    </row>
    <row r="875" ht="15.75" customHeight="1">
      <c r="C875" s="19"/>
      <c r="E875" s="19"/>
    </row>
    <row r="876" ht="15.75" customHeight="1">
      <c r="C876" s="19"/>
      <c r="E876" s="19"/>
    </row>
    <row r="877" ht="15.75" customHeight="1">
      <c r="C877" s="19"/>
      <c r="E877" s="19"/>
    </row>
    <row r="878" ht="15.75" customHeight="1">
      <c r="C878" s="19"/>
      <c r="E878" s="19"/>
    </row>
    <row r="879" ht="15.75" customHeight="1">
      <c r="C879" s="19"/>
      <c r="E879" s="19"/>
    </row>
    <row r="880" ht="15.75" customHeight="1">
      <c r="C880" s="19"/>
      <c r="E880" s="19"/>
    </row>
    <row r="881" ht="15.75" customHeight="1">
      <c r="C881" s="19"/>
      <c r="E881" s="19"/>
    </row>
    <row r="882" ht="15.75" customHeight="1">
      <c r="C882" s="19"/>
      <c r="E882" s="19"/>
    </row>
    <row r="883" ht="15.75" customHeight="1">
      <c r="C883" s="19"/>
      <c r="E883" s="19"/>
    </row>
    <row r="884" ht="15.75" customHeight="1">
      <c r="C884" s="19"/>
      <c r="E884" s="19"/>
    </row>
    <row r="885" ht="15.75" customHeight="1">
      <c r="C885" s="19"/>
      <c r="E885" s="19"/>
    </row>
    <row r="886" ht="15.75" customHeight="1">
      <c r="C886" s="19"/>
      <c r="E886" s="19"/>
    </row>
    <row r="887" ht="15.75" customHeight="1">
      <c r="C887" s="19"/>
      <c r="E887" s="19"/>
    </row>
    <row r="888" ht="15.75" customHeight="1">
      <c r="C888" s="19"/>
      <c r="E888" s="19"/>
    </row>
    <row r="889" ht="15.75" customHeight="1">
      <c r="C889" s="19"/>
      <c r="E889" s="19"/>
    </row>
    <row r="890" ht="15.75" customHeight="1">
      <c r="C890" s="19"/>
      <c r="E890" s="19"/>
    </row>
    <row r="891" ht="15.75" customHeight="1">
      <c r="C891" s="19"/>
      <c r="E891" s="19"/>
    </row>
    <row r="892" ht="15.75" customHeight="1">
      <c r="C892" s="19"/>
      <c r="E892" s="19"/>
    </row>
    <row r="893" ht="15.75" customHeight="1">
      <c r="C893" s="19"/>
      <c r="E893" s="19"/>
    </row>
    <row r="894" ht="15.75" customHeight="1">
      <c r="C894" s="19"/>
      <c r="E894" s="19"/>
    </row>
    <row r="895" ht="15.75" customHeight="1">
      <c r="C895" s="19"/>
      <c r="E895" s="19"/>
    </row>
    <row r="896" ht="15.75" customHeight="1">
      <c r="C896" s="19"/>
      <c r="E896" s="19"/>
    </row>
    <row r="897" ht="15.75" customHeight="1">
      <c r="C897" s="19"/>
      <c r="E897" s="19"/>
    </row>
    <row r="898" ht="15.75" customHeight="1">
      <c r="C898" s="19"/>
      <c r="E898" s="19"/>
    </row>
    <row r="899" ht="15.75" customHeight="1">
      <c r="C899" s="19"/>
      <c r="E899" s="19"/>
    </row>
    <row r="900" ht="15.75" customHeight="1">
      <c r="C900" s="19"/>
      <c r="E900" s="19"/>
    </row>
    <row r="901" ht="15.75" customHeight="1">
      <c r="C901" s="19"/>
      <c r="E901" s="19"/>
    </row>
    <row r="902" ht="15.75" customHeight="1">
      <c r="C902" s="19"/>
      <c r="E902" s="19"/>
    </row>
    <row r="903" ht="15.75" customHeight="1">
      <c r="C903" s="19"/>
      <c r="E903" s="19"/>
    </row>
    <row r="904" ht="15.75" customHeight="1">
      <c r="C904" s="19"/>
      <c r="E904" s="19"/>
    </row>
    <row r="905" ht="15.75" customHeight="1">
      <c r="C905" s="19"/>
      <c r="E905" s="19"/>
    </row>
    <row r="906" ht="15.75" customHeight="1">
      <c r="C906" s="19"/>
      <c r="E906" s="19"/>
    </row>
    <row r="907" ht="15.75" customHeight="1">
      <c r="C907" s="19"/>
      <c r="E907" s="19"/>
    </row>
    <row r="908" ht="15.75" customHeight="1">
      <c r="C908" s="19"/>
      <c r="E908" s="19"/>
    </row>
    <row r="909" ht="15.75" customHeight="1">
      <c r="C909" s="19"/>
      <c r="E909" s="19"/>
    </row>
    <row r="910" ht="15.75" customHeight="1">
      <c r="C910" s="19"/>
      <c r="E910" s="19"/>
    </row>
    <row r="911" ht="15.75" customHeight="1">
      <c r="C911" s="19"/>
      <c r="E911" s="19"/>
    </row>
    <row r="912" ht="15.75" customHeight="1">
      <c r="C912" s="19"/>
      <c r="E912" s="19"/>
    </row>
    <row r="913" ht="15.75" customHeight="1">
      <c r="C913" s="19"/>
      <c r="E913" s="19"/>
    </row>
    <row r="914" ht="15.75" customHeight="1">
      <c r="C914" s="19"/>
      <c r="E914" s="19"/>
    </row>
    <row r="915" ht="15.75" customHeight="1">
      <c r="C915" s="19"/>
      <c r="E915" s="19"/>
    </row>
    <row r="916" ht="15.75" customHeight="1">
      <c r="C916" s="19"/>
      <c r="E916" s="19"/>
    </row>
    <row r="917" ht="15.75" customHeight="1">
      <c r="C917" s="19"/>
      <c r="E917" s="19"/>
    </row>
    <row r="918" ht="15.75" customHeight="1">
      <c r="C918" s="19"/>
      <c r="E918" s="19"/>
    </row>
    <row r="919" ht="15.75" customHeight="1">
      <c r="C919" s="19"/>
      <c r="E919" s="19"/>
    </row>
    <row r="920" ht="15.75" customHeight="1">
      <c r="C920" s="19"/>
      <c r="E920" s="19"/>
    </row>
    <row r="921" ht="15.75" customHeight="1">
      <c r="C921" s="19"/>
      <c r="E921" s="19"/>
    </row>
    <row r="922" ht="15.75" customHeight="1">
      <c r="C922" s="19"/>
      <c r="E922" s="19"/>
    </row>
    <row r="923" ht="15.75" customHeight="1">
      <c r="C923" s="19"/>
      <c r="E923" s="19"/>
    </row>
    <row r="924" ht="15.75" customHeight="1">
      <c r="C924" s="19"/>
      <c r="E924" s="19"/>
    </row>
    <row r="925" ht="15.75" customHeight="1">
      <c r="C925" s="19"/>
      <c r="E925" s="19"/>
    </row>
    <row r="926" ht="15.75" customHeight="1">
      <c r="C926" s="19"/>
      <c r="E926" s="19"/>
    </row>
    <row r="927" ht="15.75" customHeight="1">
      <c r="C927" s="19"/>
      <c r="E927" s="19"/>
    </row>
    <row r="928" ht="15.75" customHeight="1">
      <c r="C928" s="19"/>
      <c r="E928" s="19"/>
    </row>
    <row r="929" ht="15.75" customHeight="1">
      <c r="C929" s="19"/>
      <c r="E929" s="19"/>
    </row>
    <row r="930" ht="15.75" customHeight="1">
      <c r="C930" s="19"/>
      <c r="E930" s="19"/>
    </row>
    <row r="931" ht="15.75" customHeight="1">
      <c r="C931" s="19"/>
      <c r="E931" s="19"/>
    </row>
    <row r="932" ht="15.75" customHeight="1">
      <c r="C932" s="19"/>
      <c r="E932" s="19"/>
    </row>
    <row r="933" ht="15.75" customHeight="1">
      <c r="C933" s="19"/>
      <c r="E933" s="19"/>
    </row>
    <row r="934" ht="15.75" customHeight="1">
      <c r="C934" s="19"/>
      <c r="E934" s="19"/>
    </row>
    <row r="935" ht="15.75" customHeight="1">
      <c r="C935" s="19"/>
      <c r="E935" s="19"/>
    </row>
    <row r="936" ht="15.75" customHeight="1">
      <c r="C936" s="19"/>
      <c r="E936" s="19"/>
    </row>
    <row r="937" ht="15.75" customHeight="1">
      <c r="C937" s="19"/>
      <c r="E937" s="19"/>
    </row>
    <row r="938" ht="15.75" customHeight="1">
      <c r="C938" s="19"/>
      <c r="E938" s="19"/>
    </row>
    <row r="939" ht="15.75" customHeight="1">
      <c r="C939" s="19"/>
      <c r="E939" s="19"/>
    </row>
    <row r="940" ht="15.75" customHeight="1">
      <c r="C940" s="19"/>
      <c r="E940" s="19"/>
    </row>
    <row r="941" ht="15.75" customHeight="1">
      <c r="C941" s="19"/>
      <c r="E941" s="19"/>
    </row>
    <row r="942" ht="15.75" customHeight="1">
      <c r="C942" s="19"/>
      <c r="E942" s="19"/>
    </row>
    <row r="943" ht="15.75" customHeight="1">
      <c r="C943" s="19"/>
      <c r="E943" s="19"/>
    </row>
    <row r="944" ht="15.75" customHeight="1">
      <c r="C944" s="19"/>
      <c r="E944" s="19"/>
    </row>
    <row r="945" ht="15.75" customHeight="1">
      <c r="C945" s="19"/>
      <c r="E945" s="19"/>
    </row>
    <row r="946" ht="15.75" customHeight="1">
      <c r="C946" s="19"/>
      <c r="E946" s="19"/>
    </row>
    <row r="947" ht="15.75" customHeight="1">
      <c r="C947" s="19"/>
      <c r="E947" s="19"/>
    </row>
    <row r="948" ht="15.75" customHeight="1">
      <c r="C948" s="19"/>
      <c r="E948" s="19"/>
    </row>
    <row r="949" ht="15.75" customHeight="1">
      <c r="C949" s="19"/>
      <c r="E949" s="19"/>
    </row>
    <row r="950" ht="15.75" customHeight="1">
      <c r="C950" s="19"/>
      <c r="E950" s="19"/>
    </row>
    <row r="951" ht="15.75" customHeight="1">
      <c r="C951" s="19"/>
      <c r="E951" s="19"/>
    </row>
    <row r="952" ht="15.75" customHeight="1">
      <c r="C952" s="19"/>
      <c r="E952" s="19"/>
    </row>
    <row r="953" ht="15.75" customHeight="1">
      <c r="C953" s="19"/>
      <c r="E953" s="19"/>
    </row>
    <row r="954" ht="15.75" customHeight="1">
      <c r="C954" s="19"/>
      <c r="E954" s="19"/>
    </row>
    <row r="955" ht="15.75" customHeight="1">
      <c r="C955" s="19"/>
      <c r="E955" s="19"/>
    </row>
    <row r="956" ht="15.75" customHeight="1">
      <c r="C956" s="19"/>
      <c r="E956" s="19"/>
    </row>
    <row r="957" ht="15.75" customHeight="1">
      <c r="C957" s="19"/>
      <c r="E957" s="19"/>
    </row>
    <row r="958" ht="15.75" customHeight="1">
      <c r="C958" s="19"/>
      <c r="E958" s="19"/>
    </row>
    <row r="959" ht="15.75" customHeight="1">
      <c r="C959" s="19"/>
      <c r="E959" s="19"/>
    </row>
    <row r="960" ht="15.75" customHeight="1">
      <c r="C960" s="19"/>
      <c r="E960" s="19"/>
    </row>
    <row r="961" ht="15.75" customHeight="1">
      <c r="C961" s="19"/>
      <c r="E961" s="19"/>
    </row>
    <row r="962" ht="15.75" customHeight="1">
      <c r="C962" s="19"/>
      <c r="E962" s="19"/>
    </row>
    <row r="963" ht="15.75" customHeight="1">
      <c r="C963" s="19"/>
      <c r="E963" s="19"/>
    </row>
    <row r="964" ht="15.75" customHeight="1">
      <c r="C964" s="19"/>
      <c r="E964" s="19"/>
    </row>
    <row r="965" ht="15.75" customHeight="1">
      <c r="C965" s="19"/>
      <c r="E965" s="19"/>
    </row>
    <row r="966" ht="15.75" customHeight="1">
      <c r="C966" s="19"/>
      <c r="E966" s="19"/>
    </row>
    <row r="967" ht="15.75" customHeight="1">
      <c r="C967" s="19"/>
      <c r="E967" s="19"/>
    </row>
    <row r="968" ht="15.75" customHeight="1">
      <c r="C968" s="19"/>
      <c r="E968" s="19"/>
    </row>
    <row r="969" ht="15.75" customHeight="1">
      <c r="C969" s="19"/>
      <c r="E969" s="19"/>
    </row>
    <row r="970" ht="15.75" customHeight="1">
      <c r="C970" s="19"/>
      <c r="E970" s="19"/>
    </row>
    <row r="971" ht="15.75" customHeight="1">
      <c r="C971" s="19"/>
      <c r="E971" s="19"/>
    </row>
    <row r="972" ht="15.75" customHeight="1">
      <c r="C972" s="19"/>
      <c r="E972" s="19"/>
    </row>
    <row r="973" ht="15.75" customHeight="1">
      <c r="C973" s="19"/>
      <c r="E973" s="19"/>
    </row>
    <row r="974" ht="15.75" customHeight="1">
      <c r="C974" s="19"/>
      <c r="E974" s="19"/>
    </row>
    <row r="975" ht="15.75" customHeight="1">
      <c r="C975" s="19"/>
      <c r="E975" s="19"/>
    </row>
    <row r="976" ht="15.75" customHeight="1">
      <c r="C976" s="19"/>
      <c r="E976" s="19"/>
    </row>
    <row r="977" ht="15.75" customHeight="1">
      <c r="C977" s="19"/>
      <c r="E977" s="19"/>
    </row>
    <row r="978" ht="15.75" customHeight="1">
      <c r="C978" s="19"/>
      <c r="E978" s="19"/>
    </row>
    <row r="979" ht="15.75" customHeight="1">
      <c r="C979" s="19"/>
      <c r="E979" s="19"/>
    </row>
    <row r="980" ht="15.75" customHeight="1">
      <c r="C980" s="19"/>
      <c r="E980" s="19"/>
    </row>
    <row r="981" ht="15.75" customHeight="1">
      <c r="C981" s="19"/>
      <c r="E981" s="19"/>
    </row>
    <row r="982" ht="15.75" customHeight="1">
      <c r="C982" s="19"/>
      <c r="E982" s="19"/>
    </row>
    <row r="983" ht="15.75" customHeight="1">
      <c r="C983" s="19"/>
      <c r="E983" s="19"/>
    </row>
    <row r="984" ht="15.75" customHeight="1">
      <c r="C984" s="19"/>
      <c r="E984" s="19"/>
    </row>
    <row r="985" ht="15.75" customHeight="1">
      <c r="C985" s="19"/>
      <c r="E985" s="19"/>
    </row>
    <row r="986" ht="15.75" customHeight="1">
      <c r="C986" s="19"/>
      <c r="E986" s="19"/>
    </row>
    <row r="987" ht="15.75" customHeight="1">
      <c r="C987" s="19"/>
      <c r="E987" s="19"/>
    </row>
    <row r="988" ht="15.75" customHeight="1">
      <c r="C988" s="19"/>
      <c r="E988" s="19"/>
    </row>
    <row r="989" ht="15.75" customHeight="1">
      <c r="C989" s="19"/>
      <c r="E989" s="19"/>
    </row>
    <row r="990" ht="15.75" customHeight="1">
      <c r="C990" s="19"/>
      <c r="E990" s="19"/>
    </row>
    <row r="991" ht="15.75" customHeight="1">
      <c r="C991" s="19"/>
      <c r="E991" s="19"/>
    </row>
    <row r="992" ht="15.75" customHeight="1">
      <c r="C992" s="19"/>
      <c r="E992" s="19"/>
    </row>
    <row r="993" ht="15.75" customHeight="1">
      <c r="C993" s="19"/>
      <c r="E993" s="19"/>
    </row>
    <row r="994" ht="15.75" customHeight="1">
      <c r="C994" s="19"/>
      <c r="E994" s="19"/>
    </row>
    <row r="995" ht="15.75" customHeight="1">
      <c r="C995" s="19"/>
      <c r="E995" s="19"/>
    </row>
    <row r="996" ht="15.75" customHeight="1">
      <c r="C996" s="19"/>
      <c r="E996" s="19"/>
    </row>
    <row r="997" ht="15.75" customHeight="1">
      <c r="C997" s="19"/>
      <c r="E997" s="19"/>
    </row>
    <row r="998" ht="15.75" customHeight="1">
      <c r="C998" s="19"/>
      <c r="E998" s="19"/>
    </row>
    <row r="999" ht="15.75" customHeight="1">
      <c r="C999" s="19"/>
      <c r="E999" s="19"/>
    </row>
    <row r="1000" ht="15.75" customHeight="1">
      <c r="C1000" s="19"/>
      <c r="E1000" s="19"/>
    </row>
    <row r="1001" ht="15.75" customHeight="1">
      <c r="C1001" s="19"/>
      <c r="E1001" s="19"/>
    </row>
  </sheetData>
  <dataValidations>
    <dataValidation type="list" allowBlank="1" showErrorMessage="1" sqref="A42 A44 A56:A57 A75">
      <formula1>ListaInsumos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8.71"/>
    <col customWidth="1" min="3" max="3" width="10.57"/>
    <col customWidth="1" min="4" max="4" width="13.43"/>
    <col customWidth="1" min="5" max="5" width="8.14"/>
    <col customWidth="1" min="6" max="6" width="11.71"/>
    <col customWidth="1" min="7" max="7" width="8.29"/>
    <col customWidth="1" min="8" max="8" width="24.14"/>
    <col customWidth="1" min="9" max="26" width="8.71"/>
  </cols>
  <sheetData>
    <row r="1">
      <c r="A1" s="18"/>
      <c r="B1" s="18" t="s">
        <v>179</v>
      </c>
      <c r="C1" s="18" t="s">
        <v>93</v>
      </c>
      <c r="D1" s="18" t="s">
        <v>95</v>
      </c>
    </row>
    <row r="2">
      <c r="A2" s="18" t="s">
        <v>140</v>
      </c>
      <c r="B2" s="18">
        <v>1000.0</v>
      </c>
      <c r="C2" s="19">
        <f>C3</f>
        <v>2.5</v>
      </c>
      <c r="D2" s="23">
        <f>C2/B2</f>
        <v>0.0025</v>
      </c>
    </row>
    <row r="3">
      <c r="A3" s="18" t="s">
        <v>110</v>
      </c>
      <c r="B3" s="18">
        <v>1250.0</v>
      </c>
      <c r="C3" s="19">
        <f>VLOOKUP(A3,Insumos!A:E,5,FALSE)*B3</f>
        <v>2.5</v>
      </c>
      <c r="D3" s="23"/>
    </row>
    <row r="4">
      <c r="A4" s="18"/>
      <c r="B4" s="24"/>
      <c r="C4" s="19"/>
      <c r="D4" s="23"/>
    </row>
    <row r="5">
      <c r="A5" s="18"/>
      <c r="C5" s="19"/>
      <c r="D5" s="23"/>
    </row>
    <row r="6">
      <c r="A6" s="18" t="s">
        <v>91</v>
      </c>
      <c r="B6" s="18">
        <v>1387.0</v>
      </c>
      <c r="C6" s="19">
        <f>SUM(C7:C11)</f>
        <v>13.89345</v>
      </c>
      <c r="D6" s="23">
        <f>C6/B6</f>
        <v>0.01001690699</v>
      </c>
    </row>
    <row r="7">
      <c r="A7" s="18" t="s">
        <v>140</v>
      </c>
      <c r="B7" s="18">
        <v>1000.0</v>
      </c>
      <c r="C7" s="19">
        <f>VLOOKUP(A7,Insumos!A:E,5,FALSE)*B7</f>
        <v>2.5</v>
      </c>
      <c r="D7" s="23"/>
    </row>
    <row r="8">
      <c r="A8" s="18" t="s">
        <v>137</v>
      </c>
      <c r="B8" s="18">
        <v>35.0</v>
      </c>
      <c r="C8" s="19">
        <f>VLOOKUP(A8,Insumos!A:E,5,FALSE)*B8</f>
        <v>0.14</v>
      </c>
      <c r="D8" s="23"/>
    </row>
    <row r="9">
      <c r="A9" s="18" t="s">
        <v>180</v>
      </c>
      <c r="B9" s="18">
        <v>35.0</v>
      </c>
      <c r="C9" s="19">
        <f>VLOOKUP(A9,Insumos!A:E,5,FALSE)*B9</f>
        <v>0.25515</v>
      </c>
      <c r="D9" s="23"/>
    </row>
    <row r="10">
      <c r="A10" s="18" t="s">
        <v>127</v>
      </c>
      <c r="B10" s="18">
        <v>350.0</v>
      </c>
      <c r="C10" s="19">
        <f>VLOOKUP(A10,Insumos!A:E,5,FALSE)*B10</f>
        <v>10.15</v>
      </c>
      <c r="D10" s="23"/>
    </row>
    <row r="11">
      <c r="A11" s="18" t="s">
        <v>96</v>
      </c>
      <c r="B11" s="18">
        <v>170.0</v>
      </c>
      <c r="C11" s="19">
        <f>VLOOKUP(A11,Insumos!A:E,5,FALSE)*B11</f>
        <v>0.8483</v>
      </c>
      <c r="D11" s="23"/>
    </row>
    <row r="12">
      <c r="A12" s="18" t="s">
        <v>181</v>
      </c>
      <c r="B12" s="25">
        <f>B5/SUM(B6:B10)</f>
        <v>0</v>
      </c>
      <c r="C12" s="19"/>
      <c r="D12" s="23"/>
    </row>
    <row r="13">
      <c r="A13" s="18"/>
      <c r="C13" s="19"/>
      <c r="D13" s="23"/>
    </row>
    <row r="14">
      <c r="A14" s="18" t="s">
        <v>176</v>
      </c>
      <c r="B14" s="18">
        <v>1900.0</v>
      </c>
      <c r="C14" s="19">
        <f>SUM(C15:C20)</f>
        <v>54.0481</v>
      </c>
      <c r="D14" s="23">
        <f>C14/B14</f>
        <v>0.02844636842</v>
      </c>
    </row>
    <row r="15">
      <c r="A15" s="18" t="s">
        <v>112</v>
      </c>
      <c r="B15" s="18">
        <v>1500.0</v>
      </c>
      <c r="C15" s="19">
        <f>VLOOKUP(A15,Insumos!A:E,5,FALSE)*B15</f>
        <v>52.99</v>
      </c>
      <c r="D15" s="23"/>
    </row>
    <row r="16">
      <c r="A16" s="18" t="s">
        <v>98</v>
      </c>
      <c r="B16" s="18">
        <v>400.0</v>
      </c>
      <c r="C16" s="19">
        <f>VLOOKUP(A16,Insumos!A:E,5,FALSE)*B16</f>
        <v>0.4</v>
      </c>
      <c r="D16" s="23"/>
    </row>
    <row r="17">
      <c r="A17" s="18" t="s">
        <v>115</v>
      </c>
      <c r="B17" s="18">
        <v>40.0</v>
      </c>
      <c r="C17" s="19">
        <f>VLOOKUP(A17,Insumos!A:E,5,FALSE)*B17</f>
        <v>0.176</v>
      </c>
      <c r="D17" s="23"/>
    </row>
    <row r="18">
      <c r="A18" s="18" t="s">
        <v>103</v>
      </c>
      <c r="B18" s="18">
        <v>6.0</v>
      </c>
      <c r="C18" s="19">
        <f>VLOOKUP(A18,Insumos!A:E,5,FALSE)*B18</f>
        <v>0.04374</v>
      </c>
      <c r="D18" s="23"/>
    </row>
    <row r="19">
      <c r="A19" s="18" t="s">
        <v>135</v>
      </c>
      <c r="B19" s="18">
        <v>10.0</v>
      </c>
      <c r="C19" s="19">
        <f>VLOOKUP(A19,Insumos!A:E,5,FALSE)*B19</f>
        <v>0.3</v>
      </c>
      <c r="D19" s="23"/>
    </row>
    <row r="20" ht="15.75" customHeight="1">
      <c r="A20" s="18" t="s">
        <v>118</v>
      </c>
      <c r="B20" s="18">
        <v>2.0</v>
      </c>
      <c r="C20" s="19">
        <f>VLOOKUP(A20,Insumos!A:E,5,FALSE)*B20</f>
        <v>0.13836</v>
      </c>
      <c r="D20" s="23"/>
    </row>
    <row r="21" ht="15.75" customHeight="1">
      <c r="A21" s="18" t="s">
        <v>181</v>
      </c>
      <c r="B21" s="25">
        <f>B13/SUM(B14:B19)</f>
        <v>0</v>
      </c>
      <c r="C21" s="19"/>
      <c r="D21" s="23"/>
    </row>
    <row r="22" ht="15.75" customHeight="1">
      <c r="A22" s="18"/>
      <c r="C22" s="19"/>
      <c r="D22" s="23"/>
    </row>
    <row r="23" ht="15.75" customHeight="1">
      <c r="A23" s="18" t="s">
        <v>88</v>
      </c>
      <c r="B23" s="18">
        <v>2000.0</v>
      </c>
      <c r="C23" s="19">
        <f>SUM(C24:C29)</f>
        <v>72.70324466</v>
      </c>
      <c r="D23" s="23">
        <f>C23/B23</f>
        <v>0.03635162233</v>
      </c>
    </row>
    <row r="24" ht="15.75" customHeight="1">
      <c r="A24" s="18" t="s">
        <v>119</v>
      </c>
      <c r="B24" s="18">
        <v>1000.0</v>
      </c>
      <c r="C24" s="19">
        <f>VLOOKUP(A24,Insumos!A:E,5,FALSE)*B24</f>
        <v>53</v>
      </c>
      <c r="D24" s="23"/>
    </row>
    <row r="25" ht="15.75" customHeight="1">
      <c r="A25" s="18" t="s">
        <v>116</v>
      </c>
      <c r="B25" s="18">
        <v>1000.0</v>
      </c>
      <c r="C25" s="19">
        <f>VLOOKUP(A25,Insumos!A:E,5,FALSE)*B25</f>
        <v>14.27184466</v>
      </c>
      <c r="D25" s="23"/>
    </row>
    <row r="26" ht="15.75" customHeight="1">
      <c r="A26" s="18" t="s">
        <v>130</v>
      </c>
      <c r="B26" s="18">
        <v>6.0</v>
      </c>
      <c r="C26" s="19">
        <f>VLOOKUP(A26,Insumos!A:E,5,FALSE)*B26</f>
        <v>4.8</v>
      </c>
      <c r="D26" s="23"/>
    </row>
    <row r="27" ht="15.75" customHeight="1">
      <c r="A27" s="18" t="s">
        <v>137</v>
      </c>
      <c r="B27" s="18">
        <v>8.0</v>
      </c>
      <c r="C27" s="19">
        <f>VLOOKUP(A27,Insumos!A:E,5,FALSE)*B27</f>
        <v>0.032</v>
      </c>
      <c r="D27" s="23"/>
    </row>
    <row r="28" ht="15.75" customHeight="1">
      <c r="A28" s="18" t="s">
        <v>96</v>
      </c>
      <c r="B28" s="18">
        <v>60.0</v>
      </c>
      <c r="C28" s="19">
        <f>VLOOKUP(A28,Insumos!A:E,5,FALSE)*B28</f>
        <v>0.2994</v>
      </c>
      <c r="D28" s="23"/>
    </row>
    <row r="29" ht="15.75" customHeight="1">
      <c r="A29" s="18" t="s">
        <v>114</v>
      </c>
      <c r="B29" s="18">
        <v>10.0</v>
      </c>
      <c r="C29" s="19">
        <f>VLOOKUP(A29,Insumos!A:E,5,FALSE)*B29</f>
        <v>0.3</v>
      </c>
      <c r="D29" s="23"/>
    </row>
    <row r="30" ht="15.75" customHeight="1">
      <c r="A30" s="18" t="s">
        <v>181</v>
      </c>
      <c r="B30" s="25">
        <f>B22/SUM(B23:B28)</f>
        <v>0</v>
      </c>
      <c r="C30" s="19"/>
      <c r="D30" s="23"/>
    </row>
    <row r="31" ht="15.75" customHeight="1">
      <c r="A31" s="18"/>
      <c r="C31" s="19"/>
      <c r="D31" s="23"/>
    </row>
    <row r="32" ht="15.75" customHeight="1">
      <c r="A32" s="18" t="s">
        <v>153</v>
      </c>
      <c r="B32" s="18">
        <v>600.0</v>
      </c>
      <c r="C32" s="19">
        <f>SUM(C33:C34)</f>
        <v>5.748275862</v>
      </c>
      <c r="D32" s="23">
        <f>C32/B32</f>
        <v>0.00958045977</v>
      </c>
    </row>
    <row r="33" ht="15.75" customHeight="1">
      <c r="A33" s="18" t="s">
        <v>111</v>
      </c>
      <c r="B33" s="18">
        <v>1000.0</v>
      </c>
      <c r="C33" s="19">
        <f>VLOOKUP(A33,Insumos!A:E,5,FALSE)*B33</f>
        <v>4.5</v>
      </c>
      <c r="D33" s="23"/>
    </row>
    <row r="34" ht="15.75" customHeight="1">
      <c r="A34" s="18" t="s">
        <v>132</v>
      </c>
      <c r="B34" s="18">
        <v>100.0</v>
      </c>
      <c r="C34" s="19">
        <f>VLOOKUP(A34,Insumos!A:E,5,FALSE)*B34</f>
        <v>1.248275862</v>
      </c>
      <c r="D34" s="23"/>
    </row>
    <row r="35" ht="15.75" customHeight="1">
      <c r="A35" s="18" t="s">
        <v>137</v>
      </c>
      <c r="B35" s="18">
        <v>66.0</v>
      </c>
      <c r="C35" s="19">
        <f>VLOOKUP(A35,Insumos!A:E,5,FALSE)*B35</f>
        <v>0.264</v>
      </c>
      <c r="D35" s="23"/>
    </row>
    <row r="36" ht="15.75" customHeight="1">
      <c r="A36" s="18" t="s">
        <v>181</v>
      </c>
      <c r="B36" s="25">
        <f>B31/SUM(B32:B34)</f>
        <v>0</v>
      </c>
      <c r="C36" s="19"/>
      <c r="D36" s="23"/>
    </row>
    <row r="37" ht="15.75" customHeight="1">
      <c r="A37" s="18"/>
      <c r="C37" s="19"/>
      <c r="D37" s="23"/>
    </row>
    <row r="38" ht="15.75" customHeight="1">
      <c r="A38" s="18" t="s">
        <v>155</v>
      </c>
      <c r="B38" s="18">
        <v>8000.0</v>
      </c>
      <c r="C38" s="19">
        <f>SUM(C39:C45)</f>
        <v>122.2272256</v>
      </c>
      <c r="D38" s="23">
        <f>C38/B38</f>
        <v>0.01527840319</v>
      </c>
    </row>
    <row r="39" ht="15.75" customHeight="1">
      <c r="A39" s="18" t="s">
        <v>153</v>
      </c>
      <c r="B39" s="18">
        <v>150.0</v>
      </c>
      <c r="C39" s="19">
        <f>VLOOKUP(A39,Insumos!A:E,5,FALSE)*B39</f>
        <v>1.437068966</v>
      </c>
      <c r="D39" s="23"/>
    </row>
    <row r="40" ht="15.75" customHeight="1">
      <c r="A40" s="18" t="s">
        <v>136</v>
      </c>
      <c r="B40" s="18">
        <v>150.0</v>
      </c>
      <c r="C40" s="19">
        <f>VLOOKUP(A40,Insumos!A:E,5,FALSE)*B40</f>
        <v>6.86625</v>
      </c>
      <c r="D40" s="23"/>
    </row>
    <row r="41" ht="15.75" customHeight="1">
      <c r="A41" s="18" t="s">
        <v>128</v>
      </c>
      <c r="B41" s="18">
        <v>150.0</v>
      </c>
      <c r="C41" s="19">
        <f>VLOOKUP(A41,Insumos!A:E,5,FALSE)*B41</f>
        <v>1.6625</v>
      </c>
      <c r="D41" s="23"/>
    </row>
    <row r="42" ht="15.75" customHeight="1">
      <c r="A42" s="18" t="s">
        <v>96</v>
      </c>
      <c r="B42" s="18">
        <v>400.0</v>
      </c>
      <c r="C42" s="19">
        <f>VLOOKUP(A42,Insumos!A:E,5,FALSE)*B42</f>
        <v>1.996</v>
      </c>
      <c r="D42" s="23"/>
    </row>
    <row r="43" ht="15.75" customHeight="1">
      <c r="A43" s="18" t="s">
        <v>182</v>
      </c>
      <c r="B43" s="18">
        <v>400.0</v>
      </c>
      <c r="C43" s="19">
        <f>VLOOKUP(A43,Insumos!A:E,5,FALSE)*B43</f>
        <v>5.907692308</v>
      </c>
      <c r="D43" s="23"/>
    </row>
    <row r="44" ht="15.75" customHeight="1">
      <c r="A44" s="18" t="s">
        <v>122</v>
      </c>
      <c r="B44" s="18">
        <v>800.0</v>
      </c>
      <c r="C44" s="19">
        <f>VLOOKUP(A44,Insumos!A:E,5,FALSE)*B44</f>
        <v>15.022</v>
      </c>
      <c r="D44" s="23"/>
    </row>
    <row r="45" ht="15.75" customHeight="1">
      <c r="A45" s="18" t="s">
        <v>126</v>
      </c>
      <c r="B45" s="18">
        <v>6000.0</v>
      </c>
      <c r="C45" s="19">
        <f>VLOOKUP(A45,Insumos!A:E,5,FALSE)*B45</f>
        <v>89.33571429</v>
      </c>
      <c r="D45" s="23"/>
    </row>
    <row r="46" ht="15.75" customHeight="1">
      <c r="A46" s="18" t="s">
        <v>181</v>
      </c>
      <c r="B46" s="25">
        <f>B37/SUM(B38:B44)</f>
        <v>0</v>
      </c>
      <c r="C46" s="19"/>
      <c r="D46" s="23"/>
    </row>
    <row r="47" ht="15.75" customHeight="1">
      <c r="A47" s="18"/>
      <c r="C47" s="19"/>
      <c r="D47" s="23"/>
    </row>
    <row r="48" ht="15.75" customHeight="1">
      <c r="A48" s="18" t="s">
        <v>156</v>
      </c>
      <c r="B48" s="18">
        <v>4895.0</v>
      </c>
      <c r="C48" s="19">
        <f>SUM(C49:C57)</f>
        <v>87.55870714</v>
      </c>
      <c r="D48" s="23">
        <f>C48/B48</f>
        <v>0.01788737633</v>
      </c>
    </row>
    <row r="49" ht="15.75" customHeight="1">
      <c r="A49" s="18" t="s">
        <v>126</v>
      </c>
      <c r="B49" s="18">
        <v>3000.0</v>
      </c>
      <c r="C49" s="19">
        <f>VLOOKUP(A49,Insumos!A:E,5,FALSE)*B49</f>
        <v>44.66785714</v>
      </c>
      <c r="D49" s="23"/>
    </row>
    <row r="50" ht="15.75" customHeight="1">
      <c r="A50" s="18" t="s">
        <v>121</v>
      </c>
      <c r="B50" s="18">
        <v>1000.0</v>
      </c>
      <c r="C50" s="19">
        <f>VLOOKUP(A50,Insumos!A:E,5,FALSE)*B50</f>
        <v>17.5</v>
      </c>
      <c r="D50" s="23"/>
    </row>
    <row r="51" ht="15.75" customHeight="1">
      <c r="A51" s="18" t="s">
        <v>111</v>
      </c>
      <c r="B51" s="18">
        <v>200.0</v>
      </c>
      <c r="C51" s="19">
        <f>VLOOKUP(A51,Insumos!A:E,5,FALSE)*B51</f>
        <v>0.9</v>
      </c>
      <c r="D51" s="23"/>
    </row>
    <row r="52" ht="15.75" customHeight="1">
      <c r="A52" s="18" t="s">
        <v>136</v>
      </c>
      <c r="B52" s="18">
        <v>200.0</v>
      </c>
      <c r="C52" s="19">
        <f>VLOOKUP(A52,Insumos!A:E,5,FALSE)*B52</f>
        <v>9.155</v>
      </c>
      <c r="D52" s="23"/>
    </row>
    <row r="53" ht="15.75" customHeight="1">
      <c r="A53" s="18" t="s">
        <v>100</v>
      </c>
      <c r="B53" s="18">
        <v>200.0</v>
      </c>
      <c r="C53" s="19">
        <f>VLOOKUP(A53,Insumos!A:E,5,FALSE)*B53</f>
        <v>12</v>
      </c>
      <c r="D53" s="23"/>
    </row>
    <row r="54" ht="15.75" customHeight="1">
      <c r="A54" s="18" t="s">
        <v>124</v>
      </c>
      <c r="B54" s="18">
        <v>90.0</v>
      </c>
      <c r="C54" s="19">
        <f>VLOOKUP(A54,Insumos!A:E,5,FALSE)*B54</f>
        <v>0.45</v>
      </c>
      <c r="D54" s="23"/>
    </row>
    <row r="55" ht="15.75" customHeight="1">
      <c r="A55" s="18" t="s">
        <v>125</v>
      </c>
      <c r="B55" s="18">
        <v>120.0</v>
      </c>
      <c r="C55" s="19">
        <f>VLOOKUP(A55,Insumos!A:E,5,FALSE)*B55</f>
        <v>1.44</v>
      </c>
      <c r="D55" s="23"/>
    </row>
    <row r="56" ht="15.75" customHeight="1">
      <c r="A56" s="18" t="s">
        <v>138</v>
      </c>
      <c r="B56" s="18">
        <v>200.0</v>
      </c>
      <c r="C56" s="19">
        <f>VLOOKUP(A56,Insumos!A:E,5,FALSE)*B56</f>
        <v>0.996</v>
      </c>
      <c r="D56" s="23"/>
    </row>
    <row r="57" ht="15.75" customHeight="1">
      <c r="A57" s="18" t="s">
        <v>102</v>
      </c>
      <c r="B57" s="18">
        <v>15.0</v>
      </c>
      <c r="C57" s="19">
        <f>VLOOKUP(A57,Insumos!A:E,5,FALSE)*B57</f>
        <v>0.44985</v>
      </c>
      <c r="D57" s="23"/>
    </row>
    <row r="58" ht="15.75" customHeight="1">
      <c r="A58" s="18" t="s">
        <v>181</v>
      </c>
      <c r="B58" s="26">
        <v>1.0</v>
      </c>
      <c r="C58" s="19"/>
      <c r="D58" s="23"/>
    </row>
    <row r="59" ht="15.75" customHeight="1">
      <c r="A59" s="18"/>
      <c r="C59" s="19"/>
      <c r="D59" s="23"/>
    </row>
    <row r="60" ht="15.75" customHeight="1">
      <c r="A60" s="18" t="s">
        <v>154</v>
      </c>
      <c r="B60" s="18">
        <v>296.0</v>
      </c>
      <c r="C60" s="19">
        <f>C61</f>
        <v>43</v>
      </c>
      <c r="D60" s="23">
        <f>C60/B60</f>
        <v>0.1452702703</v>
      </c>
    </row>
    <row r="61" ht="15.75" customHeight="1">
      <c r="A61" s="18" t="s">
        <v>104</v>
      </c>
      <c r="B61" s="18">
        <v>1000.0</v>
      </c>
      <c r="C61" s="19">
        <f>VLOOKUP(A61,Insumos!A:E,5,FALSE)*B61</f>
        <v>43</v>
      </c>
      <c r="D61" s="23"/>
    </row>
    <row r="62" ht="15.75" customHeight="1">
      <c r="A62" s="18" t="s">
        <v>181</v>
      </c>
      <c r="B62" s="25">
        <f>B59/B60</f>
        <v>0</v>
      </c>
      <c r="C62" s="19"/>
      <c r="D62" s="23"/>
    </row>
    <row r="63" ht="15.75" customHeight="1">
      <c r="A63" s="18"/>
      <c r="C63" s="19"/>
      <c r="D63" s="23"/>
    </row>
    <row r="64" ht="15.75" customHeight="1">
      <c r="A64" s="18" t="s">
        <v>157</v>
      </c>
      <c r="B64" s="18">
        <v>1.0</v>
      </c>
      <c r="C64" s="19">
        <f>C65</f>
        <v>2.905405405</v>
      </c>
      <c r="D64" s="23">
        <f>C64/B64</f>
        <v>2.905405405</v>
      </c>
    </row>
    <row r="65" ht="15.75" customHeight="1">
      <c r="A65" s="18" t="s">
        <v>154</v>
      </c>
      <c r="B65" s="18">
        <v>20.0</v>
      </c>
      <c r="C65" s="19">
        <f>VLOOKUP(A65,Insumos!A:E,5,FALSE)*B65</f>
        <v>2.905405405</v>
      </c>
      <c r="D65" s="23"/>
    </row>
    <row r="66" ht="15.75" customHeight="1">
      <c r="A66" s="18"/>
      <c r="C66" s="19"/>
      <c r="D66" s="23"/>
    </row>
    <row r="67" ht="15.75" customHeight="1">
      <c r="A67" s="18" t="s">
        <v>158</v>
      </c>
      <c r="B67" s="18">
        <v>1.0</v>
      </c>
      <c r="C67" s="19">
        <f>C68</f>
        <v>4.358108108</v>
      </c>
      <c r="D67" s="23">
        <f>C67/B67</f>
        <v>4.358108108</v>
      </c>
    </row>
    <row r="68" ht="15.75" customHeight="1">
      <c r="A68" s="18" t="s">
        <v>154</v>
      </c>
      <c r="B68" s="18">
        <v>30.0</v>
      </c>
      <c r="C68" s="19">
        <f>VLOOKUP(A68,Insumos!A:E,5,FALSE)*B68</f>
        <v>4.358108108</v>
      </c>
      <c r="D68" s="23"/>
    </row>
    <row r="69" ht="15.75" customHeight="1">
      <c r="A69" s="18"/>
      <c r="C69" s="19"/>
      <c r="D69" s="23"/>
    </row>
    <row r="70" ht="15.75" customHeight="1">
      <c r="A70" s="18" t="s">
        <v>159</v>
      </c>
      <c r="B70" s="18">
        <v>1.0</v>
      </c>
      <c r="C70" s="19">
        <f>C71</f>
        <v>0.6798</v>
      </c>
      <c r="D70" s="23">
        <f>C70/B70</f>
        <v>0.6798</v>
      </c>
    </row>
    <row r="71" ht="15.75" customHeight="1">
      <c r="A71" s="18" t="s">
        <v>129</v>
      </c>
      <c r="B71" s="15">
        <v>20.0</v>
      </c>
      <c r="C71" s="19">
        <f>VLOOKUP(A71,Insumos!A:E,5,FALSE)*B71</f>
        <v>0.6798</v>
      </c>
      <c r="D71" s="23"/>
    </row>
    <row r="72" ht="15.75" customHeight="1">
      <c r="A72" s="18"/>
      <c r="C72" s="19"/>
      <c r="D72" s="23"/>
    </row>
    <row r="73" ht="15.75" customHeight="1">
      <c r="A73" s="18" t="s">
        <v>160</v>
      </c>
      <c r="B73" s="18">
        <v>1.0</v>
      </c>
      <c r="C73" s="19">
        <f>C74</f>
        <v>0.50386</v>
      </c>
      <c r="D73" s="23">
        <f>C73/B73</f>
        <v>0.50386</v>
      </c>
      <c r="M73" s="18" t="s">
        <v>183</v>
      </c>
      <c r="N73" s="18">
        <v>4.0</v>
      </c>
      <c r="O73" s="18">
        <f t="shared" ref="O73:O76" si="1">N72*$B$80</f>
        <v>0</v>
      </c>
    </row>
    <row r="74" ht="15.75" customHeight="1">
      <c r="A74" s="18" t="s">
        <v>113</v>
      </c>
      <c r="B74" s="18">
        <v>14.0</v>
      </c>
      <c r="C74" s="19">
        <f>VLOOKUP(A74,Insumos!A:E,5,FALSE)*B74</f>
        <v>0.50386</v>
      </c>
      <c r="D74" s="23"/>
      <c r="M74" s="18" t="s">
        <v>184</v>
      </c>
      <c r="N74" s="18">
        <v>8.0</v>
      </c>
      <c r="O74" s="18">
        <f t="shared" si="1"/>
        <v>4</v>
      </c>
    </row>
    <row r="75" ht="15.75" customHeight="1">
      <c r="A75" s="18"/>
      <c r="C75" s="19"/>
      <c r="D75" s="23"/>
      <c r="M75" s="18" t="s">
        <v>185</v>
      </c>
      <c r="N75" s="18">
        <v>12.0</v>
      </c>
      <c r="O75" s="18">
        <f t="shared" si="1"/>
        <v>8</v>
      </c>
    </row>
    <row r="76" ht="15.75" customHeight="1">
      <c r="A76" s="18" t="s">
        <v>161</v>
      </c>
      <c r="B76" s="18">
        <v>1.0</v>
      </c>
      <c r="C76" s="19">
        <f>C77</f>
        <v>2.352307692</v>
      </c>
      <c r="D76" s="23">
        <f>C76/B76</f>
        <v>2.352307692</v>
      </c>
      <c r="M76" s="18" t="s">
        <v>186</v>
      </c>
      <c r="N76" s="18">
        <v>20.0</v>
      </c>
      <c r="O76" s="18">
        <f t="shared" si="1"/>
        <v>12</v>
      </c>
    </row>
    <row r="77" ht="15.75" customHeight="1">
      <c r="A77" s="18" t="s">
        <v>105</v>
      </c>
      <c r="B77" s="27">
        <f>100/0.65</f>
        <v>153.8461538</v>
      </c>
      <c r="C77" s="19">
        <f>VLOOKUP(A77,Insumos!A:E,5,FALSE)*B77</f>
        <v>2.352307692</v>
      </c>
      <c r="D77" s="23"/>
    </row>
    <row r="78" ht="15.75" customHeight="1">
      <c r="A78" s="18" t="s">
        <v>181</v>
      </c>
      <c r="B78" s="26">
        <v>0.65</v>
      </c>
      <c r="C78" s="19"/>
      <c r="D78" s="23"/>
      <c r="M78" s="18" t="s">
        <v>24</v>
      </c>
      <c r="N78" s="18">
        <v>8.0</v>
      </c>
      <c r="O78" s="18">
        <f t="shared" ref="O78:O80" si="2">N77*$B$83</f>
        <v>0</v>
      </c>
    </row>
    <row r="79" ht="15.75" customHeight="1">
      <c r="A79" s="18"/>
      <c r="C79" s="19"/>
      <c r="D79" s="23"/>
      <c r="M79" s="18" t="s">
        <v>38</v>
      </c>
      <c r="N79" s="18">
        <v>15.0</v>
      </c>
      <c r="O79" s="18">
        <f t="shared" si="2"/>
        <v>8</v>
      </c>
    </row>
    <row r="80" ht="15.75" customHeight="1">
      <c r="A80" s="18" t="s">
        <v>162</v>
      </c>
      <c r="B80" s="18">
        <v>1.0</v>
      </c>
      <c r="C80" s="19">
        <f>C81</f>
        <v>0.297</v>
      </c>
      <c r="D80" s="23">
        <f>C80/B80</f>
        <v>0.297</v>
      </c>
      <c r="M80" s="18" t="s">
        <v>46</v>
      </c>
      <c r="N80" s="18">
        <v>30.0</v>
      </c>
      <c r="O80" s="18">
        <f t="shared" si="2"/>
        <v>15</v>
      </c>
    </row>
    <row r="81" ht="15.75" customHeight="1">
      <c r="A81" s="18" t="s">
        <v>133</v>
      </c>
      <c r="B81" s="18">
        <v>16.5</v>
      </c>
      <c r="C81" s="19">
        <f>VLOOKUP(A81,Insumos!A:E,5,FALSE)*B81</f>
        <v>0.297</v>
      </c>
      <c r="D81" s="23"/>
    </row>
    <row r="82" ht="15.75" customHeight="1">
      <c r="A82" s="18"/>
      <c r="C82" s="19"/>
      <c r="D82" s="23"/>
    </row>
    <row r="83" ht="15.75" customHeight="1">
      <c r="A83" s="18" t="s">
        <v>163</v>
      </c>
      <c r="B83" s="18">
        <v>1.0</v>
      </c>
      <c r="C83" s="19">
        <f>C84</f>
        <v>0.4639626923</v>
      </c>
      <c r="D83" s="23">
        <f>C83/B83</f>
        <v>0.4639626923</v>
      </c>
    </row>
    <row r="84" ht="15.75" customHeight="1">
      <c r="A84" s="18" t="s">
        <v>131</v>
      </c>
      <c r="B84" s="28">
        <f>263.5/13</f>
        <v>20.26923077</v>
      </c>
      <c r="C84" s="19">
        <f>VLOOKUP(A84,Insumos!A:E,5,FALSE)*B84</f>
        <v>0.4639626923</v>
      </c>
      <c r="D84" s="23"/>
    </row>
    <row r="85" ht="15.75" customHeight="1">
      <c r="A85" s="18"/>
      <c r="C85" s="19"/>
      <c r="D85" s="23"/>
    </row>
    <row r="86" ht="15.75" customHeight="1">
      <c r="A86" s="18" t="s">
        <v>164</v>
      </c>
      <c r="B86" s="18">
        <v>1.0</v>
      </c>
      <c r="C86" s="19">
        <f>C87</f>
        <v>1.9992</v>
      </c>
      <c r="D86" s="23">
        <f>C86/B86</f>
        <v>1.9992</v>
      </c>
    </row>
    <row r="87" ht="15.75" customHeight="1">
      <c r="A87" s="18" t="s">
        <v>109</v>
      </c>
      <c r="B87" s="18">
        <v>80.0</v>
      </c>
      <c r="C87" s="19">
        <f>VLOOKUP(A87,Insumos!A:E,5,FALSE)*B87</f>
        <v>1.9992</v>
      </c>
      <c r="D87" s="23"/>
    </row>
    <row r="88" ht="15.75" customHeight="1">
      <c r="A88" s="18"/>
      <c r="C88" s="19"/>
      <c r="D88" s="23"/>
    </row>
    <row r="89" ht="15.75" customHeight="1">
      <c r="A89" s="18" t="s">
        <v>165</v>
      </c>
      <c r="B89" s="18">
        <v>1.0</v>
      </c>
      <c r="C89" s="19">
        <f>C90</f>
        <v>1.144375</v>
      </c>
      <c r="D89" s="23">
        <f>C89/B89</f>
        <v>1.144375</v>
      </c>
    </row>
    <row r="90" ht="15.75" customHeight="1">
      <c r="A90" s="18" t="s">
        <v>187</v>
      </c>
      <c r="B90" s="18">
        <v>25.0</v>
      </c>
      <c r="C90" s="19">
        <f>VLOOKUP(A90,Insumos!A:E,5,FALSE)*B90</f>
        <v>1.144375</v>
      </c>
      <c r="D90" s="23"/>
    </row>
    <row r="91" ht="15.75" customHeight="1">
      <c r="A91" s="18"/>
      <c r="C91" s="19"/>
      <c r="D91" s="23"/>
    </row>
    <row r="92" ht="15.75" customHeight="1">
      <c r="A92" s="18" t="s">
        <v>166</v>
      </c>
      <c r="B92" s="18">
        <v>1.0</v>
      </c>
      <c r="C92" s="19">
        <f>C93</f>
        <v>0.0675</v>
      </c>
      <c r="D92" s="23">
        <f>C92/B92</f>
        <v>0.0675</v>
      </c>
    </row>
    <row r="93" ht="15.75" customHeight="1">
      <c r="A93" s="18" t="s">
        <v>111</v>
      </c>
      <c r="B93" s="18">
        <v>15.0</v>
      </c>
      <c r="C93" s="19">
        <f>VLOOKUP(A93,Insumos!A:E,5,FALSE)*B93</f>
        <v>0.0675</v>
      </c>
      <c r="D93" s="23"/>
    </row>
    <row r="94" ht="15.75" customHeight="1">
      <c r="A94" s="18"/>
      <c r="C94" s="19"/>
      <c r="D94" s="23"/>
    </row>
    <row r="95" ht="15.75" customHeight="1">
      <c r="A95" s="18" t="s">
        <v>167</v>
      </c>
      <c r="B95" s="18">
        <v>1.0</v>
      </c>
      <c r="C95" s="19">
        <f>C96</f>
        <v>0.723</v>
      </c>
      <c r="D95" s="23">
        <f>C95/B95</f>
        <v>0.723</v>
      </c>
    </row>
    <row r="96" ht="15.75" customHeight="1">
      <c r="A96" s="18" t="s">
        <v>101</v>
      </c>
      <c r="B96" s="18">
        <v>30.0</v>
      </c>
      <c r="C96" s="19">
        <f>VLOOKUP(A96,Insumos!A:E,5,FALSE)*B96</f>
        <v>0.723</v>
      </c>
      <c r="D96" s="23"/>
    </row>
    <row r="97" ht="15.75" customHeight="1">
      <c r="A97" s="18"/>
      <c r="C97" s="19"/>
      <c r="D97" s="23"/>
    </row>
    <row r="98" ht="15.75" customHeight="1">
      <c r="A98" s="18" t="s">
        <v>168</v>
      </c>
      <c r="B98" s="18">
        <v>1.0</v>
      </c>
      <c r="C98" s="19">
        <f>C99</f>
        <v>0.24</v>
      </c>
      <c r="D98" s="23">
        <f>C98/B98</f>
        <v>0.24</v>
      </c>
    </row>
    <row r="99" ht="15.75" customHeight="1">
      <c r="A99" s="18" t="s">
        <v>139</v>
      </c>
      <c r="B99" s="18">
        <v>40.0</v>
      </c>
      <c r="C99" s="19">
        <f>VLOOKUP(A99,Insumos!A:E,5,FALSE)*B99</f>
        <v>0.24</v>
      </c>
      <c r="D99" s="23"/>
    </row>
    <row r="100" ht="15.75" customHeight="1">
      <c r="A100" s="18"/>
      <c r="C100" s="19"/>
      <c r="D100" s="23"/>
    </row>
    <row r="101" ht="15.75" customHeight="1">
      <c r="A101" s="18" t="s">
        <v>169</v>
      </c>
      <c r="B101" s="18">
        <v>1.0</v>
      </c>
      <c r="C101" s="19">
        <f>C102</f>
        <v>0.3</v>
      </c>
      <c r="D101" s="23">
        <f>C101/B101</f>
        <v>0.3</v>
      </c>
    </row>
    <row r="102" ht="15.75" customHeight="1">
      <c r="A102" s="18" t="s">
        <v>139</v>
      </c>
      <c r="B102" s="18">
        <v>50.0</v>
      </c>
      <c r="C102" s="19">
        <f>VLOOKUP(A102,Insumos!A:E,5,FALSE)*B102</f>
        <v>0.3</v>
      </c>
      <c r="D102" s="23"/>
    </row>
    <row r="103" ht="15.75" customHeight="1">
      <c r="A103" s="18"/>
      <c r="C103" s="19"/>
      <c r="D103" s="23"/>
    </row>
    <row r="104" ht="15.75" customHeight="1">
      <c r="A104" s="18" t="s">
        <v>170</v>
      </c>
      <c r="B104" s="18">
        <v>1.0</v>
      </c>
      <c r="C104" s="19">
        <f>C105</f>
        <v>0.2826504591</v>
      </c>
      <c r="D104" s="23">
        <f>C104/B104</f>
        <v>0.2826504591</v>
      </c>
    </row>
    <row r="105" ht="15.75" customHeight="1">
      <c r="A105" s="18" t="s">
        <v>155</v>
      </c>
      <c r="B105" s="18">
        <v>18.5</v>
      </c>
      <c r="C105" s="19">
        <f>VLOOKUP(A105,Insumos!A:E,5,FALSE)*B105</f>
        <v>0.2826504591</v>
      </c>
      <c r="D105" s="23"/>
    </row>
    <row r="106" ht="15.75" customHeight="1">
      <c r="A106" s="18"/>
      <c r="C106" s="19"/>
      <c r="D106" s="23"/>
    </row>
    <row r="107" ht="15.75" customHeight="1">
      <c r="A107" s="18" t="s">
        <v>171</v>
      </c>
      <c r="B107" s="18">
        <v>1.0</v>
      </c>
      <c r="C107" s="19">
        <f>C108</f>
        <v>0.461575</v>
      </c>
      <c r="D107" s="23">
        <f>C107/B107</f>
        <v>0.461575</v>
      </c>
    </row>
    <row r="108" ht="15.75" customHeight="1">
      <c r="A108" s="18" t="s">
        <v>142</v>
      </c>
      <c r="B108" s="18">
        <v>18.5</v>
      </c>
      <c r="C108" s="19">
        <f>VLOOKUP(A108,Insumos!A:E,5,FALSE)*B108</f>
        <v>0.461575</v>
      </c>
      <c r="D108" s="23"/>
    </row>
    <row r="109" ht="15.75" customHeight="1">
      <c r="A109" s="18"/>
      <c r="C109" s="19"/>
      <c r="D109" s="23"/>
    </row>
    <row r="110" ht="15.75" customHeight="1">
      <c r="A110" s="18"/>
      <c r="C110" s="19"/>
      <c r="D110" s="23"/>
    </row>
    <row r="111" ht="15.75" customHeight="1">
      <c r="A111" s="18" t="s">
        <v>172</v>
      </c>
      <c r="B111" s="18">
        <v>1.0</v>
      </c>
      <c r="C111" s="19">
        <f>C112</f>
        <v>0.5008453497</v>
      </c>
      <c r="D111" s="23">
        <f>C111/B111</f>
        <v>0.5008453497</v>
      </c>
    </row>
    <row r="112" ht="15.75" customHeight="1">
      <c r="A112" s="15" t="s">
        <v>91</v>
      </c>
      <c r="B112" s="18">
        <v>50.0</v>
      </c>
      <c r="C112" s="19">
        <f>VLOOKUP(A112,Insumos!A:E,5,FALSE)*B112</f>
        <v>0.5008453497</v>
      </c>
      <c r="D112" s="23"/>
    </row>
    <row r="113" ht="15.75" customHeight="1">
      <c r="A113" s="18"/>
      <c r="C113" s="19"/>
      <c r="D113" s="23"/>
    </row>
    <row r="114" ht="15.75" customHeight="1">
      <c r="A114" s="18" t="s">
        <v>173</v>
      </c>
      <c r="B114" s="18">
        <v>1.0</v>
      </c>
      <c r="C114" s="19">
        <f>C115</f>
        <v>1.454064893</v>
      </c>
      <c r="D114" s="23">
        <f>C114/B114</f>
        <v>1.454064893</v>
      </c>
    </row>
    <row r="115" ht="15.75" customHeight="1">
      <c r="A115" s="15" t="s">
        <v>88</v>
      </c>
      <c r="B115" s="18">
        <v>40.0</v>
      </c>
      <c r="C115" s="19">
        <f>VLOOKUP(A115,Insumos!A:E,5,FALSE)*B115</f>
        <v>1.454064893</v>
      </c>
      <c r="D115" s="23"/>
    </row>
    <row r="116" ht="15.75" customHeight="1">
      <c r="A116" s="18"/>
      <c r="C116" s="19"/>
      <c r="D116" s="23"/>
    </row>
    <row r="117" ht="15.75" customHeight="1">
      <c r="A117" s="18" t="s">
        <v>174</v>
      </c>
      <c r="B117" s="18">
        <f t="shared" ref="B117:C117" si="3">SUM(B118:B123)</f>
        <v>4560</v>
      </c>
      <c r="C117" s="29">
        <f t="shared" si="3"/>
        <v>52.665</v>
      </c>
      <c r="D117" s="23">
        <f>C117/B117</f>
        <v>0.01154934211</v>
      </c>
    </row>
    <row r="118" ht="15.75" customHeight="1">
      <c r="A118" s="18" t="s">
        <v>120</v>
      </c>
      <c r="B118" s="18">
        <v>2000.0</v>
      </c>
      <c r="C118" s="19">
        <f>VLOOKUP(A118,Insumos!A:E,5,FALSE)*B118</f>
        <v>45.5</v>
      </c>
      <c r="D118" s="23"/>
    </row>
    <row r="119" ht="15.75" customHeight="1">
      <c r="A119" s="18" t="s">
        <v>98</v>
      </c>
      <c r="B119" s="18">
        <v>2000.0</v>
      </c>
      <c r="C119" s="19">
        <f>VLOOKUP(A119,Insumos!A:E,5,FALSE)*B119</f>
        <v>2</v>
      </c>
      <c r="D119" s="23"/>
    </row>
    <row r="120" ht="15.75" customHeight="1">
      <c r="A120" s="18" t="s">
        <v>137</v>
      </c>
      <c r="B120" s="18">
        <v>80.0</v>
      </c>
      <c r="C120" s="19">
        <f>VLOOKUP(A120,Insumos!A:E,5,FALSE)*B120</f>
        <v>0.32</v>
      </c>
      <c r="D120" s="23"/>
    </row>
    <row r="121" ht="15.75" customHeight="1">
      <c r="A121" s="18" t="s">
        <v>102</v>
      </c>
      <c r="B121" s="18">
        <v>100.0</v>
      </c>
      <c r="C121" s="19">
        <f>VLOOKUP(A121,Insumos!A:E,5,FALSE)*B121</f>
        <v>2.999</v>
      </c>
      <c r="D121" s="23"/>
    </row>
    <row r="122" ht="15.75" customHeight="1">
      <c r="A122" s="18" t="s">
        <v>138</v>
      </c>
      <c r="B122" s="18">
        <v>300.0</v>
      </c>
      <c r="C122" s="19">
        <f>VLOOKUP(A122,Insumos!A:E,5,FALSE)*B122</f>
        <v>1.494</v>
      </c>
      <c r="D122" s="23"/>
    </row>
    <row r="123" ht="15.75" customHeight="1">
      <c r="A123" s="18" t="s">
        <v>115</v>
      </c>
      <c r="B123" s="18">
        <v>80.0</v>
      </c>
      <c r="C123" s="19">
        <f>VLOOKUP(A123,Insumos!A:E,5,FALSE)*B123</f>
        <v>0.352</v>
      </c>
      <c r="D123" s="23"/>
    </row>
    <row r="124" ht="15.75" customHeight="1">
      <c r="A124" s="18"/>
      <c r="C124" s="19"/>
      <c r="D124" s="23"/>
    </row>
    <row r="125" ht="15.75" customHeight="1">
      <c r="A125" s="18" t="s">
        <v>175</v>
      </c>
      <c r="B125" s="18">
        <v>1.0</v>
      </c>
      <c r="C125" s="19">
        <f>C126</f>
        <v>1.385921053</v>
      </c>
      <c r="D125" s="23">
        <f>C125/B125</f>
        <v>1.385921053</v>
      </c>
    </row>
    <row r="126" ht="15.75" customHeight="1">
      <c r="A126" s="18" t="s">
        <v>174</v>
      </c>
      <c r="B126" s="18">
        <v>120.0</v>
      </c>
      <c r="C126" s="19">
        <f>VLOOKUP(A126,Insumos!A:E,5,FALSE)*B126</f>
        <v>1.385921053</v>
      </c>
      <c r="D126" s="19"/>
    </row>
    <row r="127" ht="15.75" customHeight="1">
      <c r="A127" s="18"/>
      <c r="C127" s="12"/>
    </row>
    <row r="128" ht="15.75" customHeight="1">
      <c r="A128" s="30" t="s">
        <v>84</v>
      </c>
      <c r="B128" s="31">
        <v>1.0</v>
      </c>
      <c r="C128" s="32">
        <f>C92+C95+C98</f>
        <v>1.0305</v>
      </c>
      <c r="D128" s="32">
        <f t="shared" ref="D128:D135" si="4">C128*B128</f>
        <v>1.0305</v>
      </c>
    </row>
    <row r="129" ht="15.75" customHeight="1">
      <c r="A129" s="30" t="s">
        <v>85</v>
      </c>
      <c r="B129" s="31">
        <v>1.0</v>
      </c>
      <c r="C129" s="32">
        <f>C89</f>
        <v>1.144375</v>
      </c>
      <c r="D129" s="32">
        <f t="shared" si="4"/>
        <v>1.144375</v>
      </c>
    </row>
    <row r="130" ht="15.75" customHeight="1">
      <c r="A130" s="30" t="s">
        <v>86</v>
      </c>
      <c r="B130" s="31">
        <v>1.0</v>
      </c>
      <c r="C130" s="32">
        <f>C64</f>
        <v>2.905405405</v>
      </c>
      <c r="D130" s="32">
        <f t="shared" si="4"/>
        <v>2.905405405</v>
      </c>
    </row>
    <row r="131" ht="15.75" customHeight="1">
      <c r="A131" s="30" t="s">
        <v>87</v>
      </c>
      <c r="B131" s="31">
        <v>4.0</v>
      </c>
      <c r="C131" s="32">
        <f>C80</f>
        <v>0.297</v>
      </c>
      <c r="D131" s="32">
        <f t="shared" si="4"/>
        <v>1.188</v>
      </c>
    </row>
    <row r="132" ht="15.75" customHeight="1">
      <c r="A132" s="30" t="s">
        <v>88</v>
      </c>
      <c r="B132" s="31">
        <v>1.0</v>
      </c>
      <c r="C132" s="32">
        <f>C114</f>
        <v>1.454064893</v>
      </c>
      <c r="D132" s="32">
        <f t="shared" si="4"/>
        <v>1.454064893</v>
      </c>
    </row>
    <row r="133" ht="15.75" customHeight="1">
      <c r="A133" s="30" t="s">
        <v>89</v>
      </c>
      <c r="B133" s="31">
        <v>2.0</v>
      </c>
      <c r="C133" s="32">
        <f>C73</f>
        <v>0.50386</v>
      </c>
      <c r="D133" s="32">
        <f t="shared" si="4"/>
        <v>1.00772</v>
      </c>
    </row>
    <row r="134" ht="15.75" customHeight="1">
      <c r="A134" s="30" t="s">
        <v>90</v>
      </c>
      <c r="B134" s="31">
        <v>2.0</v>
      </c>
      <c r="C134" s="32">
        <f>C70</f>
        <v>0.6798</v>
      </c>
      <c r="D134" s="32">
        <f t="shared" si="4"/>
        <v>1.3596</v>
      </c>
    </row>
    <row r="135" ht="15.75" customHeight="1">
      <c r="A135" s="18" t="s">
        <v>172</v>
      </c>
      <c r="B135" s="31">
        <v>1.0</v>
      </c>
      <c r="C135" s="32">
        <f>C111</f>
        <v>0.5008453497</v>
      </c>
      <c r="D135" s="32">
        <f t="shared" si="4"/>
        <v>0.5008453497</v>
      </c>
    </row>
    <row r="136" ht="15.75" customHeight="1"/>
    <row r="137" ht="15.75" customHeight="1"/>
    <row r="138" ht="15.75" customHeight="1">
      <c r="A138" s="15" t="s">
        <v>177</v>
      </c>
      <c r="B138" s="15">
        <v>1.0</v>
      </c>
      <c r="C138" s="18">
        <f>C139*B138</f>
        <v>1.58</v>
      </c>
    </row>
    <row r="139" ht="15.75" customHeight="1">
      <c r="A139" s="15" t="s">
        <v>150</v>
      </c>
      <c r="B139" s="15">
        <v>40.0</v>
      </c>
      <c r="C139" s="19">
        <f>VLOOKUP(A139,Insumos!A:E,5,FALSE)*B139</f>
        <v>1.58</v>
      </c>
    </row>
    <row r="140" ht="15.75" customHeight="1">
      <c r="A140" s="18"/>
    </row>
    <row r="141" ht="15.75" customHeight="1">
      <c r="A141" s="15" t="s">
        <v>178</v>
      </c>
      <c r="B141" s="15">
        <v>1.0</v>
      </c>
      <c r="C141" s="18">
        <f>C142*B141</f>
        <v>1.44</v>
      </c>
    </row>
    <row r="142" ht="15.75" customHeight="1">
      <c r="A142" s="15" t="s">
        <v>149</v>
      </c>
      <c r="B142" s="15">
        <v>80.0</v>
      </c>
      <c r="C142" s="19">
        <f>VLOOKUP(A142,Insumos!A:E,5,FALSE)*B142</f>
        <v>1.44</v>
      </c>
    </row>
    <row r="143" ht="15.75" customHeight="1">
      <c r="A143" s="18"/>
    </row>
    <row r="144" ht="15.75" customHeight="1">
      <c r="A144" s="18"/>
    </row>
    <row r="145" ht="15.75" customHeight="1">
      <c r="A145" s="18"/>
    </row>
    <row r="146" ht="15.75" customHeight="1">
      <c r="A146" s="18"/>
    </row>
    <row r="147" ht="15.75" customHeight="1">
      <c r="A147" s="18"/>
    </row>
    <row r="148" ht="15.75" customHeight="1">
      <c r="A148" s="18"/>
    </row>
    <row r="149" ht="15.75" customHeight="1">
      <c r="A149" s="18"/>
    </row>
    <row r="150" ht="15.75" customHeight="1">
      <c r="A150" s="18"/>
    </row>
    <row r="151" ht="15.75" customHeight="1">
      <c r="A151" s="18"/>
    </row>
    <row r="152" ht="15.75" customHeight="1">
      <c r="A152" s="18"/>
    </row>
    <row r="153" ht="15.75" customHeight="1">
      <c r="A153" s="18"/>
    </row>
    <row r="154" ht="15.75" customHeight="1">
      <c r="A154" s="18"/>
    </row>
    <row r="155" ht="15.75" customHeight="1">
      <c r="A155" s="18"/>
    </row>
    <row r="156" ht="15.75" customHeight="1">
      <c r="A156" s="18"/>
    </row>
    <row r="157" ht="15.75" customHeight="1">
      <c r="A157" s="18"/>
    </row>
    <row r="158" ht="15.75" customHeight="1">
      <c r="A158" s="18"/>
    </row>
    <row r="159" ht="15.75" customHeight="1">
      <c r="A159" s="18"/>
    </row>
    <row r="160" ht="15.75" customHeight="1">
      <c r="A160" s="18"/>
    </row>
    <row r="161" ht="15.75" customHeight="1">
      <c r="A161" s="18"/>
    </row>
    <row r="162" ht="15.75" customHeight="1">
      <c r="A162" s="18"/>
    </row>
    <row r="163" ht="15.75" customHeight="1">
      <c r="A163" s="18"/>
    </row>
    <row r="164" ht="15.75" customHeight="1">
      <c r="A164" s="18"/>
    </row>
    <row r="165" ht="15.75" customHeight="1">
      <c r="A165" s="18"/>
    </row>
    <row r="166" ht="15.75" customHeight="1">
      <c r="A166" s="18"/>
    </row>
    <row r="167" ht="15.75" customHeight="1">
      <c r="A167" s="18"/>
    </row>
    <row r="168" ht="15.75" customHeight="1">
      <c r="A168" s="18"/>
    </row>
    <row r="169" ht="15.75" customHeight="1">
      <c r="A169" s="18"/>
    </row>
    <row r="170" ht="15.75" customHeight="1">
      <c r="A170" s="18"/>
    </row>
    <row r="171" ht="15.75" customHeight="1">
      <c r="A171" s="18"/>
    </row>
    <row r="172" ht="15.75" customHeight="1">
      <c r="A172" s="18"/>
    </row>
    <row r="173" ht="15.75" customHeight="1">
      <c r="A173" s="18"/>
    </row>
    <row r="174" ht="15.75" customHeight="1">
      <c r="A174" s="18"/>
    </row>
    <row r="175" ht="15.75" customHeight="1">
      <c r="A175" s="18"/>
    </row>
    <row r="176" ht="15.75" customHeight="1">
      <c r="A176" s="18"/>
    </row>
    <row r="177" ht="15.75" customHeight="1">
      <c r="A177" s="18"/>
    </row>
    <row r="178" ht="15.75" customHeight="1">
      <c r="A178" s="18"/>
    </row>
    <row r="179" ht="15.75" customHeight="1">
      <c r="A179" s="18"/>
    </row>
    <row r="180" ht="15.75" customHeight="1">
      <c r="A180" s="18"/>
    </row>
    <row r="181" ht="15.75" customHeight="1">
      <c r="A181" s="18"/>
    </row>
    <row r="182" ht="15.75" customHeight="1">
      <c r="A182" s="18"/>
    </row>
    <row r="183" ht="15.75" customHeight="1">
      <c r="A183" s="18"/>
    </row>
    <row r="184" ht="15.75" customHeight="1">
      <c r="A184" s="18"/>
    </row>
    <row r="185" ht="15.75" customHeight="1">
      <c r="A185" s="18"/>
    </row>
    <row r="186" ht="15.75" customHeight="1">
      <c r="A186" s="18"/>
    </row>
    <row r="187" ht="15.75" customHeight="1">
      <c r="A187" s="18"/>
    </row>
    <row r="188" ht="15.75" customHeight="1">
      <c r="A188" s="18"/>
    </row>
    <row r="189" ht="15.75" customHeight="1">
      <c r="A189" s="18"/>
    </row>
    <row r="190" ht="15.75" customHeight="1">
      <c r="A190" s="18"/>
    </row>
    <row r="191" ht="15.75" customHeight="1">
      <c r="A191" s="18"/>
    </row>
    <row r="192" ht="15.75" customHeight="1">
      <c r="A192" s="18"/>
    </row>
    <row r="193" ht="15.75" customHeight="1">
      <c r="A193" s="18"/>
    </row>
    <row r="194" ht="15.75" customHeight="1">
      <c r="A194" s="18"/>
    </row>
    <row r="195" ht="15.75" customHeight="1">
      <c r="A195" s="18"/>
    </row>
    <row r="196" ht="15.75" customHeight="1">
      <c r="A196" s="18"/>
    </row>
    <row r="197" ht="15.75" customHeight="1">
      <c r="A197" s="18"/>
    </row>
    <row r="198" ht="15.75" customHeight="1">
      <c r="A198" s="18"/>
    </row>
    <row r="199" ht="15.75" customHeight="1">
      <c r="A199" s="18"/>
    </row>
    <row r="200" ht="15.75" customHeight="1">
      <c r="A200" s="18"/>
    </row>
    <row r="201" ht="15.75" customHeight="1">
      <c r="A201" s="18"/>
    </row>
    <row r="202" ht="15.75" customHeight="1">
      <c r="A202" s="18"/>
    </row>
    <row r="203" ht="15.75" customHeight="1">
      <c r="A203" s="18"/>
    </row>
    <row r="204" ht="15.75" customHeight="1">
      <c r="A204" s="18"/>
    </row>
    <row r="205" ht="15.75" customHeight="1">
      <c r="A205" s="18"/>
    </row>
    <row r="206" ht="15.75" customHeight="1">
      <c r="A206" s="18"/>
    </row>
    <row r="207" ht="15.75" customHeight="1">
      <c r="A207" s="18"/>
    </row>
    <row r="208" ht="15.75" customHeight="1">
      <c r="A208" s="18"/>
    </row>
    <row r="209" ht="15.75" customHeight="1">
      <c r="A209" s="18"/>
    </row>
    <row r="210" ht="15.75" customHeight="1">
      <c r="A210" s="18"/>
    </row>
    <row r="211" ht="15.75" customHeight="1">
      <c r="A211" s="18"/>
    </row>
    <row r="212" ht="15.75" customHeight="1">
      <c r="A212" s="18"/>
    </row>
    <row r="213" ht="15.75" customHeight="1">
      <c r="A213" s="18"/>
    </row>
    <row r="214" ht="15.75" customHeight="1">
      <c r="A214" s="18"/>
    </row>
    <row r="215" ht="15.75" customHeight="1">
      <c r="A215" s="18"/>
    </row>
    <row r="216" ht="15.75" customHeight="1">
      <c r="A216" s="18"/>
    </row>
    <row r="217" ht="15.75" customHeight="1">
      <c r="A217" s="18"/>
    </row>
    <row r="218" ht="15.75" customHeight="1">
      <c r="A218" s="18"/>
    </row>
    <row r="219" ht="15.75" customHeight="1">
      <c r="A219" s="18"/>
    </row>
    <row r="220" ht="15.75" customHeight="1">
      <c r="A220" s="18"/>
    </row>
    <row r="221" ht="15.75" customHeight="1">
      <c r="A221" s="18"/>
    </row>
    <row r="222" ht="15.75" customHeight="1">
      <c r="A222" s="18"/>
    </row>
    <row r="223" ht="15.75" customHeight="1">
      <c r="A223" s="18"/>
    </row>
    <row r="224" ht="15.75" customHeight="1">
      <c r="A224" s="18"/>
    </row>
    <row r="225" ht="15.75" customHeight="1">
      <c r="A225" s="18"/>
    </row>
    <row r="226" ht="15.75" customHeight="1">
      <c r="A226" s="18"/>
    </row>
    <row r="227" ht="15.75" customHeight="1">
      <c r="A227" s="18"/>
    </row>
    <row r="228" ht="15.75" customHeight="1">
      <c r="A228" s="18"/>
    </row>
    <row r="229" ht="15.75" customHeight="1">
      <c r="A229" s="18"/>
    </row>
    <row r="230" ht="15.75" customHeight="1">
      <c r="A230" s="18"/>
    </row>
    <row r="231" ht="15.75" customHeight="1">
      <c r="A231" s="18"/>
    </row>
    <row r="232" ht="15.75" customHeight="1">
      <c r="A232" s="18"/>
    </row>
    <row r="233" ht="15.75" customHeight="1">
      <c r="A233" s="18"/>
    </row>
    <row r="234" ht="15.75" customHeight="1">
      <c r="A234" s="18"/>
    </row>
    <row r="235" ht="15.75" customHeight="1">
      <c r="A235" s="18"/>
    </row>
    <row r="236" ht="15.75" customHeight="1">
      <c r="A236" s="18"/>
    </row>
    <row r="237" ht="15.75" customHeight="1">
      <c r="A237" s="18"/>
    </row>
    <row r="238" ht="15.75" customHeight="1">
      <c r="A238" s="18"/>
    </row>
    <row r="239" ht="15.75" customHeight="1">
      <c r="A239" s="18"/>
    </row>
    <row r="240" ht="15.75" customHeight="1">
      <c r="A240" s="18"/>
    </row>
    <row r="241" ht="15.75" customHeight="1">
      <c r="A241" s="18"/>
    </row>
    <row r="242" ht="15.75" customHeight="1">
      <c r="A242" s="18"/>
    </row>
    <row r="243" ht="15.75" customHeight="1">
      <c r="A243" s="18"/>
    </row>
    <row r="244" ht="15.75" customHeight="1">
      <c r="A244" s="18"/>
    </row>
    <row r="245" ht="15.75" customHeight="1">
      <c r="A245" s="18"/>
    </row>
    <row r="246" ht="15.75" customHeight="1">
      <c r="A246" s="18"/>
    </row>
    <row r="247" ht="15.75" customHeight="1">
      <c r="A247" s="18"/>
    </row>
    <row r="248" ht="15.75" customHeight="1">
      <c r="A248" s="18"/>
    </row>
    <row r="249" ht="15.75" customHeight="1">
      <c r="A249" s="18"/>
    </row>
    <row r="250" ht="15.75" customHeight="1">
      <c r="A250" s="18"/>
    </row>
    <row r="251" ht="15.75" customHeight="1">
      <c r="A251" s="18"/>
    </row>
    <row r="252" ht="15.75" customHeight="1">
      <c r="A252" s="18"/>
    </row>
    <row r="253" ht="15.75" customHeight="1">
      <c r="A253" s="18"/>
    </row>
    <row r="254" ht="15.75" customHeight="1">
      <c r="A254" s="18"/>
    </row>
    <row r="255" ht="15.75" customHeight="1">
      <c r="A255" s="18"/>
    </row>
    <row r="256" ht="15.75" customHeight="1">
      <c r="A256" s="18"/>
    </row>
    <row r="257" ht="15.75" customHeight="1">
      <c r="A257" s="18"/>
    </row>
    <row r="258" ht="15.75" customHeight="1">
      <c r="A258" s="18"/>
    </row>
    <row r="259" ht="15.75" customHeight="1">
      <c r="A259" s="18"/>
    </row>
    <row r="260" ht="15.75" customHeight="1">
      <c r="A260" s="18"/>
    </row>
    <row r="261" ht="15.75" customHeight="1">
      <c r="A261" s="18"/>
    </row>
    <row r="262" ht="15.75" customHeight="1">
      <c r="A262" s="18"/>
    </row>
    <row r="263" ht="15.75" customHeight="1">
      <c r="A263" s="18"/>
    </row>
    <row r="264" ht="15.75" customHeight="1">
      <c r="A264" s="18"/>
    </row>
    <row r="265" ht="15.75" customHeight="1">
      <c r="A265" s="18"/>
    </row>
    <row r="266" ht="15.75" customHeight="1">
      <c r="A266" s="18"/>
    </row>
    <row r="267" ht="15.75" customHeight="1">
      <c r="A267" s="18"/>
    </row>
    <row r="268" ht="15.75" customHeight="1">
      <c r="A268" s="18"/>
    </row>
    <row r="269" ht="15.75" customHeight="1">
      <c r="A269" s="18"/>
    </row>
    <row r="270" ht="15.75" customHeight="1">
      <c r="A270" s="18"/>
    </row>
    <row r="271" ht="15.75" customHeight="1">
      <c r="A271" s="18"/>
    </row>
    <row r="272" ht="15.75" customHeight="1">
      <c r="A272" s="18"/>
    </row>
    <row r="273" ht="15.75" customHeight="1">
      <c r="A273" s="18"/>
    </row>
    <row r="274" ht="15.75" customHeight="1">
      <c r="A274" s="18"/>
    </row>
    <row r="275" ht="15.75" customHeight="1">
      <c r="A275" s="18"/>
    </row>
    <row r="276" ht="15.75" customHeight="1">
      <c r="A276" s="18"/>
    </row>
    <row r="277" ht="15.75" customHeight="1">
      <c r="A277" s="18"/>
    </row>
    <row r="278" ht="15.75" customHeight="1">
      <c r="A278" s="18"/>
    </row>
    <row r="279" ht="15.75" customHeight="1">
      <c r="A279" s="18"/>
    </row>
    <row r="280" ht="15.75" customHeight="1">
      <c r="A280" s="18"/>
    </row>
    <row r="281" ht="15.75" customHeight="1">
      <c r="A281" s="18"/>
    </row>
    <row r="282" ht="15.75" customHeight="1">
      <c r="A282" s="18"/>
    </row>
    <row r="283" ht="15.75" customHeight="1">
      <c r="A283" s="18"/>
    </row>
    <row r="284" ht="15.75" customHeight="1">
      <c r="A284" s="18"/>
    </row>
    <row r="285" ht="15.75" customHeight="1">
      <c r="A285" s="18"/>
    </row>
    <row r="286" ht="15.75" customHeight="1">
      <c r="A286" s="18"/>
    </row>
    <row r="287" ht="15.75" customHeight="1">
      <c r="A287" s="18"/>
    </row>
    <row r="288" ht="15.75" customHeight="1">
      <c r="A288" s="18"/>
    </row>
    <row r="289" ht="15.75" customHeight="1">
      <c r="A289" s="18"/>
    </row>
    <row r="290" ht="15.75" customHeight="1">
      <c r="A290" s="18"/>
    </row>
    <row r="291" ht="15.75" customHeight="1">
      <c r="A291" s="18"/>
    </row>
    <row r="292" ht="15.75" customHeight="1">
      <c r="A292" s="18"/>
    </row>
    <row r="293" ht="15.75" customHeight="1">
      <c r="A293" s="18"/>
    </row>
    <row r="294" ht="15.75" customHeight="1">
      <c r="A294" s="18"/>
    </row>
    <row r="295" ht="15.75" customHeight="1">
      <c r="A295" s="18"/>
    </row>
    <row r="296" ht="15.75" customHeight="1">
      <c r="A296" s="18"/>
    </row>
    <row r="297" ht="15.75" customHeight="1">
      <c r="A297" s="18"/>
    </row>
    <row r="298" ht="15.75" customHeight="1">
      <c r="A298" s="18"/>
    </row>
    <row r="299" ht="15.75" customHeight="1">
      <c r="A299" s="18"/>
    </row>
    <row r="300" ht="15.75" customHeight="1">
      <c r="A300" s="18"/>
    </row>
    <row r="301" ht="15.75" customHeight="1">
      <c r="A301" s="18"/>
    </row>
    <row r="302" ht="15.75" customHeight="1">
      <c r="A302" s="18"/>
    </row>
    <row r="303" ht="15.75" customHeight="1">
      <c r="A303" s="18"/>
    </row>
    <row r="304" ht="15.75" customHeight="1">
      <c r="A304" s="18"/>
    </row>
    <row r="305" ht="15.75" customHeight="1">
      <c r="A305" s="18"/>
    </row>
    <row r="306" ht="15.75" customHeight="1">
      <c r="A306" s="18"/>
    </row>
    <row r="307" ht="15.75" customHeight="1">
      <c r="A307" s="18"/>
    </row>
    <row r="308" ht="15.75" customHeight="1">
      <c r="A308" s="18"/>
    </row>
    <row r="309" ht="15.75" customHeight="1">
      <c r="A309" s="18"/>
    </row>
    <row r="310" ht="15.75" customHeight="1">
      <c r="A310" s="18"/>
    </row>
    <row r="311" ht="15.75" customHeight="1">
      <c r="A311" s="18"/>
    </row>
    <row r="312" ht="15.75" customHeight="1">
      <c r="A312" s="18"/>
    </row>
    <row r="313" ht="15.75" customHeight="1">
      <c r="A313" s="18"/>
    </row>
    <row r="314" ht="15.75" customHeight="1">
      <c r="A314" s="18"/>
    </row>
    <row r="315" ht="15.75" customHeight="1">
      <c r="A315" s="18"/>
    </row>
    <row r="316" ht="15.75" customHeight="1">
      <c r="A316" s="18"/>
    </row>
    <row r="317" ht="15.75" customHeight="1">
      <c r="A317" s="18"/>
    </row>
    <row r="318" ht="15.75" customHeight="1">
      <c r="A318" s="18"/>
    </row>
    <row r="319" ht="15.75" customHeight="1">
      <c r="A319" s="18"/>
    </row>
    <row r="320" ht="15.75" customHeight="1">
      <c r="A320" s="18"/>
    </row>
    <row r="321" ht="15.75" customHeight="1">
      <c r="A321" s="18"/>
    </row>
    <row r="322" ht="15.75" customHeight="1">
      <c r="A322" s="18"/>
    </row>
    <row r="323" ht="15.75" customHeight="1">
      <c r="A323" s="18"/>
    </row>
    <row r="324" ht="15.75" customHeight="1">
      <c r="A324" s="18"/>
    </row>
    <row r="325" ht="15.75" customHeight="1">
      <c r="A325" s="18"/>
    </row>
    <row r="326" ht="15.75" customHeight="1">
      <c r="A326" s="18"/>
    </row>
    <row r="327" ht="15.75" customHeight="1">
      <c r="A327" s="18"/>
    </row>
    <row r="328" ht="15.75" customHeight="1">
      <c r="A328" s="18"/>
    </row>
    <row r="329" ht="15.75" customHeight="1">
      <c r="A329" s="18"/>
    </row>
    <row r="330" ht="15.75" customHeight="1">
      <c r="A330" s="18"/>
    </row>
    <row r="331" ht="15.75" customHeight="1">
      <c r="A331" s="18"/>
    </row>
    <row r="332" ht="15.75" customHeight="1">
      <c r="A332" s="18"/>
    </row>
    <row r="333" ht="15.75" customHeight="1">
      <c r="A333" s="18"/>
    </row>
    <row r="334" ht="15.75" customHeight="1">
      <c r="A334" s="18"/>
    </row>
    <row r="335" ht="15.75" customHeight="1">
      <c r="A335" s="18"/>
    </row>
    <row r="336" ht="15.75" customHeight="1">
      <c r="A336" s="18"/>
    </row>
    <row r="337" ht="15.75" customHeight="1">
      <c r="A337" s="18"/>
    </row>
    <row r="338" ht="15.75" customHeight="1">
      <c r="A338" s="18"/>
    </row>
    <row r="339" ht="15.75" customHeight="1">
      <c r="A339" s="18"/>
    </row>
    <row r="340" ht="15.75" customHeight="1">
      <c r="A340" s="18"/>
    </row>
    <row r="341" ht="15.75" customHeight="1">
      <c r="A341" s="18"/>
    </row>
    <row r="342" ht="15.75" customHeight="1">
      <c r="A342" s="18"/>
    </row>
    <row r="343" ht="15.75" customHeight="1">
      <c r="A343" s="18"/>
    </row>
    <row r="344" ht="15.75" customHeight="1">
      <c r="A344" s="18"/>
    </row>
    <row r="345" ht="15.75" customHeight="1">
      <c r="A345" s="18"/>
    </row>
    <row r="346" ht="15.75" customHeight="1">
      <c r="A346" s="18"/>
    </row>
    <row r="347" ht="15.75" customHeight="1">
      <c r="A347" s="18"/>
    </row>
    <row r="348" ht="15.75" customHeight="1">
      <c r="A348" s="18"/>
    </row>
    <row r="349" ht="15.75" customHeight="1">
      <c r="A349" s="18"/>
    </row>
    <row r="350" ht="15.75" customHeight="1">
      <c r="A350" s="18"/>
    </row>
    <row r="351" ht="15.75" customHeight="1">
      <c r="A351" s="18"/>
    </row>
    <row r="352" ht="15.75" customHeight="1">
      <c r="A352" s="18"/>
    </row>
    <row r="353" ht="15.75" customHeight="1">
      <c r="A353" s="18"/>
    </row>
    <row r="354" ht="15.75" customHeight="1">
      <c r="A354" s="18"/>
    </row>
    <row r="355" ht="15.75" customHeight="1">
      <c r="A355" s="18"/>
    </row>
    <row r="356" ht="15.75" customHeight="1">
      <c r="A356" s="18"/>
    </row>
    <row r="357" ht="15.75" customHeight="1">
      <c r="A357" s="18"/>
    </row>
    <row r="358" ht="15.75" customHeight="1">
      <c r="A358" s="18"/>
    </row>
    <row r="359" ht="15.75" customHeight="1">
      <c r="A359" s="18"/>
    </row>
    <row r="360" ht="15.75" customHeight="1">
      <c r="A360" s="18"/>
    </row>
    <row r="361" ht="15.75" customHeight="1">
      <c r="A361" s="18"/>
    </row>
    <row r="362" ht="15.75" customHeight="1">
      <c r="A362" s="18"/>
    </row>
    <row r="363" ht="15.75" customHeight="1">
      <c r="A363" s="18"/>
    </row>
    <row r="364" ht="15.75" customHeight="1">
      <c r="A364" s="18"/>
    </row>
    <row r="365" ht="15.75" customHeight="1">
      <c r="A365" s="18"/>
    </row>
    <row r="366" ht="15.75" customHeight="1">
      <c r="A366" s="18"/>
    </row>
    <row r="367" ht="15.75" customHeight="1">
      <c r="A367" s="18"/>
    </row>
    <row r="368" ht="15.75" customHeight="1">
      <c r="A368" s="18"/>
    </row>
    <row r="369" ht="15.75" customHeight="1">
      <c r="A369" s="18"/>
    </row>
    <row r="370" ht="15.75" customHeight="1">
      <c r="A370" s="18"/>
    </row>
    <row r="371" ht="15.75" customHeight="1">
      <c r="A371" s="18"/>
    </row>
    <row r="372" ht="15.75" customHeight="1">
      <c r="A372" s="18"/>
    </row>
    <row r="373" ht="15.75" customHeight="1">
      <c r="A373" s="18"/>
    </row>
    <row r="374" ht="15.75" customHeight="1">
      <c r="A374" s="18"/>
    </row>
    <row r="375" ht="15.75" customHeight="1">
      <c r="A375" s="18"/>
    </row>
    <row r="376" ht="15.75" customHeight="1">
      <c r="A376" s="18"/>
    </row>
    <row r="377" ht="15.75" customHeight="1">
      <c r="A377" s="18"/>
    </row>
    <row r="378" ht="15.75" customHeight="1">
      <c r="A378" s="18"/>
    </row>
    <row r="379" ht="15.75" customHeight="1">
      <c r="A379" s="18"/>
    </row>
    <row r="380" ht="15.75" customHeight="1">
      <c r="A380" s="18"/>
    </row>
    <row r="381" ht="15.75" customHeight="1">
      <c r="A381" s="18"/>
    </row>
    <row r="382" ht="15.75" customHeight="1">
      <c r="A382" s="18"/>
    </row>
    <row r="383" ht="15.75" customHeight="1">
      <c r="A383" s="18"/>
    </row>
    <row r="384" ht="15.75" customHeight="1">
      <c r="A384" s="18"/>
    </row>
    <row r="385" ht="15.75" customHeight="1">
      <c r="A385" s="18"/>
    </row>
    <row r="386" ht="15.75" customHeight="1">
      <c r="A386" s="18"/>
    </row>
    <row r="387" ht="15.75" customHeight="1">
      <c r="A387" s="18"/>
    </row>
    <row r="388" ht="15.75" customHeight="1">
      <c r="A388" s="18"/>
    </row>
    <row r="389" ht="15.75" customHeight="1">
      <c r="A389" s="18"/>
    </row>
    <row r="390" ht="15.75" customHeight="1">
      <c r="A390" s="18"/>
    </row>
    <row r="391" ht="15.75" customHeight="1">
      <c r="A391" s="18"/>
    </row>
    <row r="392" ht="15.75" customHeight="1">
      <c r="A392" s="18"/>
    </row>
    <row r="393" ht="15.75" customHeight="1">
      <c r="A393" s="18"/>
    </row>
    <row r="394" ht="15.75" customHeight="1">
      <c r="A394" s="18"/>
    </row>
    <row r="395" ht="15.75" customHeight="1">
      <c r="A395" s="18"/>
    </row>
    <row r="396" ht="15.75" customHeight="1">
      <c r="A396" s="18"/>
    </row>
    <row r="397" ht="15.75" customHeight="1">
      <c r="A397" s="18"/>
    </row>
    <row r="398" ht="15.75" customHeight="1">
      <c r="A398" s="18"/>
    </row>
    <row r="399" ht="15.75" customHeight="1">
      <c r="A399" s="18"/>
    </row>
    <row r="400" ht="15.75" customHeight="1">
      <c r="A400" s="18"/>
    </row>
    <row r="401" ht="15.75" customHeight="1">
      <c r="A401" s="18"/>
    </row>
    <row r="402" ht="15.75" customHeight="1">
      <c r="A402" s="18"/>
    </row>
    <row r="403" ht="15.75" customHeight="1">
      <c r="A403" s="18"/>
    </row>
    <row r="404" ht="15.75" customHeight="1">
      <c r="A404" s="18"/>
    </row>
    <row r="405" ht="15.75" customHeight="1">
      <c r="A405" s="18"/>
    </row>
    <row r="406" ht="15.75" customHeight="1">
      <c r="A406" s="18"/>
    </row>
    <row r="407" ht="15.75" customHeight="1">
      <c r="A407" s="18"/>
    </row>
    <row r="408" ht="15.75" customHeight="1">
      <c r="A408" s="18"/>
    </row>
    <row r="409" ht="15.75" customHeight="1">
      <c r="A409" s="18"/>
    </row>
    <row r="410" ht="15.75" customHeight="1">
      <c r="A410" s="18"/>
    </row>
    <row r="411" ht="15.75" customHeight="1">
      <c r="A411" s="18"/>
    </row>
    <row r="412" ht="15.75" customHeight="1">
      <c r="A412" s="18"/>
    </row>
    <row r="413" ht="15.75" customHeight="1">
      <c r="A413" s="18"/>
    </row>
    <row r="414" ht="15.75" customHeight="1">
      <c r="A414" s="18"/>
    </row>
    <row r="415" ht="15.75" customHeight="1">
      <c r="A415" s="18"/>
    </row>
    <row r="416" ht="15.75" customHeight="1">
      <c r="A416" s="18"/>
    </row>
    <row r="417" ht="15.75" customHeight="1">
      <c r="A417" s="18"/>
    </row>
    <row r="418" ht="15.75" customHeight="1">
      <c r="A418" s="18"/>
    </row>
    <row r="419" ht="15.75" customHeight="1">
      <c r="A419" s="18"/>
    </row>
    <row r="420" ht="15.75" customHeight="1">
      <c r="A420" s="18"/>
    </row>
    <row r="421" ht="15.75" customHeight="1">
      <c r="A421" s="18"/>
    </row>
    <row r="422" ht="15.75" customHeight="1">
      <c r="A422" s="18"/>
    </row>
    <row r="423" ht="15.75" customHeight="1">
      <c r="A423" s="18"/>
    </row>
    <row r="424" ht="15.75" customHeight="1">
      <c r="A424" s="18"/>
    </row>
    <row r="425" ht="15.75" customHeight="1">
      <c r="A425" s="18"/>
    </row>
    <row r="426" ht="15.75" customHeight="1">
      <c r="A426" s="18"/>
    </row>
    <row r="427" ht="15.75" customHeight="1">
      <c r="A427" s="18"/>
    </row>
    <row r="428" ht="15.75" customHeight="1">
      <c r="A428" s="18"/>
    </row>
    <row r="429" ht="15.75" customHeight="1">
      <c r="A429" s="18"/>
    </row>
    <row r="430" ht="15.75" customHeight="1">
      <c r="A430" s="18"/>
    </row>
    <row r="431" ht="15.75" customHeight="1">
      <c r="A431" s="18"/>
    </row>
    <row r="432" ht="15.75" customHeight="1">
      <c r="A432" s="18"/>
    </row>
    <row r="433" ht="15.75" customHeight="1">
      <c r="A433" s="18"/>
    </row>
    <row r="434" ht="15.75" customHeight="1">
      <c r="A434" s="18"/>
    </row>
    <row r="435" ht="15.75" customHeight="1">
      <c r="A435" s="18"/>
    </row>
    <row r="436" ht="15.75" customHeight="1">
      <c r="A436" s="18"/>
    </row>
    <row r="437" ht="15.75" customHeight="1">
      <c r="A437" s="18"/>
    </row>
    <row r="438" ht="15.75" customHeight="1">
      <c r="A438" s="18"/>
    </row>
    <row r="439" ht="15.75" customHeight="1">
      <c r="A439" s="18"/>
    </row>
    <row r="440" ht="15.75" customHeight="1">
      <c r="A440" s="18"/>
    </row>
    <row r="441" ht="15.75" customHeight="1">
      <c r="A441" s="18"/>
    </row>
    <row r="442" ht="15.75" customHeight="1">
      <c r="A442" s="18"/>
    </row>
    <row r="443" ht="15.75" customHeight="1">
      <c r="A443" s="18"/>
    </row>
    <row r="444" ht="15.75" customHeight="1">
      <c r="A444" s="18"/>
    </row>
    <row r="445" ht="15.75" customHeight="1">
      <c r="A445" s="18"/>
    </row>
    <row r="446" ht="15.75" customHeight="1">
      <c r="A446" s="18"/>
    </row>
    <row r="447" ht="15.75" customHeight="1">
      <c r="A447" s="18"/>
    </row>
    <row r="448" ht="15.75" customHeight="1">
      <c r="A448" s="18"/>
    </row>
    <row r="449" ht="15.75" customHeight="1">
      <c r="A449" s="18"/>
    </row>
    <row r="450" ht="15.75" customHeight="1">
      <c r="A450" s="18"/>
    </row>
    <row r="451" ht="15.75" customHeight="1">
      <c r="A451" s="18"/>
    </row>
    <row r="452" ht="15.75" customHeight="1">
      <c r="A452" s="18"/>
    </row>
    <row r="453" ht="15.75" customHeight="1">
      <c r="A453" s="18"/>
    </row>
    <row r="454" ht="15.75" customHeight="1">
      <c r="A454" s="18"/>
    </row>
    <row r="455" ht="15.75" customHeight="1">
      <c r="A455" s="18"/>
    </row>
    <row r="456" ht="15.75" customHeight="1">
      <c r="A456" s="18"/>
    </row>
    <row r="457" ht="15.75" customHeight="1">
      <c r="A457" s="18"/>
    </row>
    <row r="458" ht="15.75" customHeight="1">
      <c r="A458" s="18"/>
    </row>
    <row r="459" ht="15.75" customHeight="1">
      <c r="A459" s="18"/>
    </row>
    <row r="460" ht="15.75" customHeight="1">
      <c r="A460" s="18"/>
    </row>
    <row r="461" ht="15.75" customHeight="1">
      <c r="A461" s="18"/>
    </row>
    <row r="462" ht="15.75" customHeight="1">
      <c r="A462" s="18"/>
    </row>
    <row r="463" ht="15.75" customHeight="1">
      <c r="A463" s="18"/>
    </row>
    <row r="464" ht="15.75" customHeight="1">
      <c r="A464" s="18"/>
    </row>
    <row r="465" ht="15.75" customHeight="1">
      <c r="A465" s="18"/>
    </row>
    <row r="466" ht="15.75" customHeight="1">
      <c r="A466" s="18"/>
    </row>
    <row r="467" ht="15.75" customHeight="1">
      <c r="A467" s="18"/>
    </row>
    <row r="468" ht="15.75" customHeight="1">
      <c r="A468" s="18"/>
    </row>
    <row r="469" ht="15.75" customHeight="1">
      <c r="A469" s="18"/>
    </row>
    <row r="470" ht="15.75" customHeight="1">
      <c r="A470" s="18"/>
    </row>
    <row r="471" ht="15.75" customHeight="1">
      <c r="A471" s="18"/>
    </row>
    <row r="472" ht="15.75" customHeight="1">
      <c r="A472" s="18"/>
    </row>
    <row r="473" ht="15.75" customHeight="1">
      <c r="A473" s="18"/>
    </row>
    <row r="474" ht="15.75" customHeight="1">
      <c r="A474" s="18"/>
    </row>
    <row r="475" ht="15.75" customHeight="1">
      <c r="A475" s="18"/>
    </row>
    <row r="476" ht="15.75" customHeight="1">
      <c r="A476" s="18"/>
    </row>
    <row r="477" ht="15.75" customHeight="1">
      <c r="A477" s="18"/>
    </row>
    <row r="478" ht="15.75" customHeight="1">
      <c r="A478" s="18"/>
    </row>
    <row r="479" ht="15.75" customHeight="1">
      <c r="A479" s="18"/>
    </row>
    <row r="480" ht="15.75" customHeight="1">
      <c r="A480" s="18"/>
    </row>
    <row r="481" ht="15.75" customHeight="1">
      <c r="A481" s="18"/>
    </row>
    <row r="482" ht="15.75" customHeight="1">
      <c r="A482" s="18"/>
    </row>
    <row r="483" ht="15.75" customHeight="1">
      <c r="A483" s="18"/>
    </row>
    <row r="484" ht="15.75" customHeight="1">
      <c r="A484" s="18"/>
    </row>
    <row r="485" ht="15.75" customHeight="1">
      <c r="A485" s="18"/>
    </row>
    <row r="486" ht="15.75" customHeight="1">
      <c r="A486" s="18"/>
    </row>
    <row r="487" ht="15.75" customHeight="1">
      <c r="A487" s="18"/>
    </row>
    <row r="488" ht="15.75" customHeight="1">
      <c r="A488" s="18"/>
    </row>
    <row r="489" ht="15.75" customHeight="1">
      <c r="A489" s="18"/>
    </row>
    <row r="490" ht="15.75" customHeight="1">
      <c r="A490" s="18"/>
    </row>
    <row r="491" ht="15.75" customHeight="1">
      <c r="A491" s="18"/>
    </row>
    <row r="492" ht="15.75" customHeight="1">
      <c r="A492" s="18"/>
    </row>
    <row r="493" ht="15.75" customHeight="1">
      <c r="A493" s="18"/>
    </row>
    <row r="494" ht="15.75" customHeight="1">
      <c r="A494" s="18"/>
    </row>
    <row r="495" ht="15.75" customHeight="1">
      <c r="A495" s="18"/>
    </row>
    <row r="496" ht="15.75" customHeight="1">
      <c r="A496" s="18"/>
    </row>
    <row r="497" ht="15.75" customHeight="1">
      <c r="A497" s="18"/>
    </row>
    <row r="498" ht="15.75" customHeight="1">
      <c r="A498" s="18"/>
    </row>
    <row r="499" ht="15.75" customHeight="1">
      <c r="A499" s="18"/>
    </row>
    <row r="500" ht="15.75" customHeight="1">
      <c r="A500" s="18"/>
    </row>
    <row r="501" ht="15.75" customHeight="1">
      <c r="A501" s="18"/>
    </row>
    <row r="502" ht="15.75" customHeight="1">
      <c r="A502" s="18"/>
    </row>
    <row r="503" ht="15.75" customHeight="1">
      <c r="A503" s="18"/>
    </row>
    <row r="504" ht="15.75" customHeight="1">
      <c r="A504" s="18"/>
    </row>
    <row r="505" ht="15.75" customHeight="1">
      <c r="A505" s="18"/>
    </row>
    <row r="506" ht="15.75" customHeight="1">
      <c r="A506" s="18"/>
    </row>
    <row r="507" ht="15.75" customHeight="1">
      <c r="A507" s="18"/>
    </row>
    <row r="508" ht="15.75" customHeight="1">
      <c r="A508" s="18"/>
    </row>
    <row r="509" ht="15.75" customHeight="1">
      <c r="A509" s="18"/>
    </row>
    <row r="510" ht="15.75" customHeight="1">
      <c r="A510" s="18"/>
    </row>
    <row r="511" ht="15.75" customHeight="1">
      <c r="A511" s="18"/>
    </row>
    <row r="512" ht="15.75" customHeight="1">
      <c r="A512" s="18"/>
    </row>
    <row r="513" ht="15.75" customHeight="1">
      <c r="A513" s="18"/>
    </row>
    <row r="514" ht="15.75" customHeight="1">
      <c r="A514" s="18"/>
    </row>
    <row r="515" ht="15.75" customHeight="1">
      <c r="A515" s="18"/>
    </row>
    <row r="516" ht="15.75" customHeight="1">
      <c r="A516" s="18"/>
    </row>
    <row r="517" ht="15.75" customHeight="1">
      <c r="A517" s="18"/>
    </row>
    <row r="518" ht="15.75" customHeight="1">
      <c r="A518" s="18"/>
    </row>
    <row r="519" ht="15.75" customHeight="1">
      <c r="A519" s="18"/>
    </row>
    <row r="520" ht="15.75" customHeight="1">
      <c r="A520" s="18"/>
    </row>
    <row r="521" ht="15.75" customHeight="1">
      <c r="A521" s="18"/>
    </row>
    <row r="522" ht="15.75" customHeight="1">
      <c r="A522" s="18"/>
    </row>
    <row r="523" ht="15.75" customHeight="1">
      <c r="A523" s="18"/>
    </row>
    <row r="524" ht="15.75" customHeight="1">
      <c r="A524" s="18"/>
    </row>
    <row r="525" ht="15.75" customHeight="1">
      <c r="A525" s="18"/>
    </row>
    <row r="526" ht="15.75" customHeight="1">
      <c r="A526" s="18"/>
    </row>
    <row r="527" ht="15.75" customHeight="1">
      <c r="A527" s="18"/>
    </row>
    <row r="528" ht="15.75" customHeight="1">
      <c r="A528" s="18"/>
    </row>
    <row r="529" ht="15.75" customHeight="1">
      <c r="A529" s="18"/>
    </row>
    <row r="530" ht="15.75" customHeight="1">
      <c r="A530" s="18"/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</sheetData>
  <dataValidations>
    <dataValidation type="list" allowBlank="1" showErrorMessage="1" sqref="A1:A134 A139:A140 A142:A999">
      <formula1>ListaInsumos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9.14"/>
    <col customWidth="1" min="3" max="3" width="9.57"/>
    <col customWidth="1" min="4" max="4" width="19.0"/>
    <col customWidth="1" min="5" max="5" width="20.29"/>
    <col customWidth="1" min="6" max="8" width="9.14"/>
    <col customWidth="1" min="9" max="26" width="8.71"/>
  </cols>
  <sheetData>
    <row r="1">
      <c r="A1" s="33"/>
      <c r="B1" s="33" t="s">
        <v>188</v>
      </c>
      <c r="C1" s="34" t="s">
        <v>3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3" t="s">
        <v>18</v>
      </c>
      <c r="B2" s="33"/>
      <c r="C2" s="35">
        <f>SUM(C3:C7)</f>
        <v>4.613710459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3" t="s">
        <v>134</v>
      </c>
      <c r="B3" s="33">
        <v>1.0</v>
      </c>
      <c r="C3" s="34">
        <f>IFERROR(VLOOKUP(A3,Insumos!A:E,5,FALSE)*B3,"")</f>
        <v>1.7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 t="s">
        <v>164</v>
      </c>
      <c r="B4" s="33">
        <v>1.0</v>
      </c>
      <c r="C4" s="34">
        <f>IFERROR(VLOOKUP(A4,Insumos!A:E,5,FALSE)*B4,"")</f>
        <v>1.9992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 t="s">
        <v>160</v>
      </c>
      <c r="B5" s="33">
        <v>1.0</v>
      </c>
      <c r="C5" s="34">
        <f>IFERROR(VLOOKUP(A5,Insumos!A:E,5,FALSE)*B5,"")</f>
        <v>0.50386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 t="s">
        <v>170</v>
      </c>
      <c r="B6" s="33">
        <v>1.0</v>
      </c>
      <c r="C6" s="34">
        <f>IFERROR(VLOOKUP(A6,Insumos!A:E,5,FALSE)*B6,"")</f>
        <v>0.2826504591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 t="s">
        <v>141</v>
      </c>
      <c r="B7" s="33">
        <v>1.0</v>
      </c>
      <c r="C7" s="34">
        <f>IFERROR(VLOOKUP(A7,Insumos!A:E,5,FALSE)*B7,"")</f>
        <v>0.128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4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 t="s">
        <v>28</v>
      </c>
      <c r="B9" s="33"/>
      <c r="C9" s="35">
        <f>SUM(C10:C14)</f>
        <v>7.116770459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 t="s">
        <v>134</v>
      </c>
      <c r="B10" s="33">
        <v>1.0</v>
      </c>
      <c r="C10" s="34">
        <f>IFERROR(VLOOKUP(A10,Insumos!A:E,5,FALSE)*B10,"")</f>
        <v>1.7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 t="s">
        <v>164</v>
      </c>
      <c r="B11" s="33">
        <v>2.0</v>
      </c>
      <c r="C11" s="34">
        <f>IFERROR(VLOOKUP(A11,Insumos!A:E,5,FALSE)*B11,"")</f>
        <v>3.9984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 t="s">
        <v>160</v>
      </c>
      <c r="B12" s="33">
        <v>2.0</v>
      </c>
      <c r="C12" s="34">
        <f>IFERROR(VLOOKUP(A12,Insumos!A:E,5,FALSE)*B12,"")</f>
        <v>1.00772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 t="s">
        <v>170</v>
      </c>
      <c r="B13" s="33">
        <v>1.0</v>
      </c>
      <c r="C13" s="34">
        <f>IFERROR(VLOOKUP(A13,Insumos!A:E,5,FALSE)*B13,"")</f>
        <v>0.2826504591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 t="s">
        <v>141</v>
      </c>
      <c r="B14" s="33">
        <v>1.0</v>
      </c>
      <c r="C14" s="34">
        <f>IFERROR(VLOOKUP(A14,Insumos!A:E,5,FALSE)*B14,"")</f>
        <v>0.128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4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 t="s">
        <v>33</v>
      </c>
      <c r="B16" s="33"/>
      <c r="C16" s="35">
        <f>SUM(C17:C21)</f>
        <v>9.619830459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 t="s">
        <v>134</v>
      </c>
      <c r="B17" s="33">
        <v>1.0</v>
      </c>
      <c r="C17" s="34">
        <f>IFERROR(VLOOKUP(A17,Insumos!A:E,5,FALSE)*B17,"")</f>
        <v>1.7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 t="s">
        <v>164</v>
      </c>
      <c r="B18" s="33">
        <v>3.0</v>
      </c>
      <c r="C18" s="34">
        <f>IFERROR(VLOOKUP(A18,Insumos!A:E,5,FALSE)*B18,"")</f>
        <v>5.9976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 t="s">
        <v>160</v>
      </c>
      <c r="B19" s="33">
        <v>3.0</v>
      </c>
      <c r="C19" s="34">
        <f>IFERROR(VLOOKUP(A19,Insumos!A:E,5,FALSE)*B19,"")</f>
        <v>1.51158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3" t="s">
        <v>170</v>
      </c>
      <c r="B20" s="33">
        <v>1.0</v>
      </c>
      <c r="C20" s="34">
        <f>IFERROR(VLOOKUP(A20,Insumos!A:E,5,FALSE)*B20,"")</f>
        <v>0.2826504591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 t="s">
        <v>141</v>
      </c>
      <c r="B21" s="33">
        <v>1.0</v>
      </c>
      <c r="C21" s="34">
        <f>IFERROR(VLOOKUP(A21,Insumos!A:E,5,FALSE)*B21,"")</f>
        <v>0.128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4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 t="s">
        <v>34</v>
      </c>
      <c r="B23" s="33"/>
      <c r="C23" s="35">
        <f>SUM(C24:C32)</f>
        <v>11.05267586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 t="s">
        <v>134</v>
      </c>
      <c r="B24" s="33">
        <v>1.0</v>
      </c>
      <c r="C24" s="34">
        <f>IFERROR(VLOOKUP(A24,Insumos!A:E,5,FALSE)*B24,"")</f>
        <v>1.7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 t="s">
        <v>164</v>
      </c>
      <c r="B25" s="33">
        <v>2.0</v>
      </c>
      <c r="C25" s="34">
        <f>IFERROR(VLOOKUP(A25,Insumos!A:E,5,FALSE)*B25,"")</f>
        <v>3.9984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 t="s">
        <v>160</v>
      </c>
      <c r="B26" s="33">
        <v>2.0</v>
      </c>
      <c r="C26" s="34">
        <f>IFERROR(VLOOKUP(A26,Insumos!A:E,5,FALSE)*B26,"")</f>
        <v>1.00772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 t="s">
        <v>170</v>
      </c>
      <c r="B27" s="33">
        <v>1.0</v>
      </c>
      <c r="C27" s="34">
        <f>IFERROR(VLOOKUP(A27,Insumos!A:E,5,FALSE)*B27,"")</f>
        <v>0.2826504591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 t="s">
        <v>189</v>
      </c>
      <c r="B28" s="33">
        <v>1.0</v>
      </c>
      <c r="C28" s="34">
        <f>IFERROR(VLOOKUP(A28,Insumos!A:E,5,FALSE)*B28,"")</f>
        <v>0.0675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 t="s">
        <v>167</v>
      </c>
      <c r="B29" s="33">
        <v>1.0</v>
      </c>
      <c r="C29" s="34">
        <f>IFERROR(VLOOKUP(A29,Insumos!A:E,5,FALSE)*B29,"")</f>
        <v>0.723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 t="s">
        <v>168</v>
      </c>
      <c r="B30" s="33">
        <v>1.0</v>
      </c>
      <c r="C30" s="34">
        <f>IFERROR(VLOOKUP(A30,Insumos!A:E,5,FALSE)*B30,"")</f>
        <v>0.24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 t="s">
        <v>157</v>
      </c>
      <c r="B31" s="33">
        <v>1.0</v>
      </c>
      <c r="C31" s="34">
        <f>IFERROR(VLOOKUP(A31,Insumos!A:E,5,FALSE)*B31,"")</f>
        <v>2.905405405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 t="s">
        <v>141</v>
      </c>
      <c r="B32" s="33">
        <v>1.0</v>
      </c>
      <c r="C32" s="34">
        <f>IFERROR(VLOOKUP(A32,Insumos!A:E,5,FALSE)*B32,"")</f>
        <v>0.128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 t="s">
        <v>37</v>
      </c>
      <c r="B34" s="33"/>
      <c r="C34" s="35">
        <f>SUM(C35:C40)</f>
        <v>12.52523586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 t="s">
        <v>134</v>
      </c>
      <c r="B35" s="33">
        <v>1.0</v>
      </c>
      <c r="C35" s="34">
        <f>IFERROR(VLOOKUP(A35,Insumos!A:E,5,FALSE)*B35,"")</f>
        <v>1.7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 t="s">
        <v>164</v>
      </c>
      <c r="B36" s="33">
        <v>3.0</v>
      </c>
      <c r="C36" s="34">
        <f>IFERROR(VLOOKUP(A36,Insumos!A:E,5,FALSE)*B36,"")</f>
        <v>5.9976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 t="s">
        <v>160</v>
      </c>
      <c r="B37" s="33">
        <v>3.0</v>
      </c>
      <c r="C37" s="34">
        <f>IFERROR(VLOOKUP(A37,Insumos!A:E,5,FALSE)*B37,"")</f>
        <v>1.51158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 t="s">
        <v>170</v>
      </c>
      <c r="B38" s="33">
        <v>1.0</v>
      </c>
      <c r="C38" s="34">
        <f>IFERROR(VLOOKUP(A38,Insumos!A:E,5,FALSE)*B38,"")</f>
        <v>0.2826504591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 t="s">
        <v>157</v>
      </c>
      <c r="B39" s="33">
        <v>1.0</v>
      </c>
      <c r="C39" s="34">
        <f>IFERROR(VLOOKUP(A39,Insumos!A:E,5,FALSE)*B39,"")</f>
        <v>2.905405405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 t="s">
        <v>141</v>
      </c>
      <c r="B40" s="33">
        <v>1.0</v>
      </c>
      <c r="C40" s="34">
        <f>IFERROR(VLOOKUP(A40,Insumos!A:E,5,FALSE)*B40,"")</f>
        <v>0.128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4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 t="s">
        <v>15</v>
      </c>
      <c r="B42" s="33"/>
      <c r="C42" s="35">
        <f>SUM(C43:C48)</f>
        <v>8.94527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 t="s">
        <v>134</v>
      </c>
      <c r="B43" s="33">
        <v>1.0</v>
      </c>
      <c r="C43" s="34">
        <f>IFERROR(VLOOKUP(A43,Insumos!A:E,5,FALSE)*B43,"")</f>
        <v>1.7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 t="s">
        <v>164</v>
      </c>
      <c r="B44" s="33">
        <v>2.0</v>
      </c>
      <c r="C44" s="34">
        <f>IFERROR(VLOOKUP(A44,Insumos!A:E,5,FALSE)*B44,"")</f>
        <v>3.9984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 t="s">
        <v>160</v>
      </c>
      <c r="B45" s="33">
        <v>2.0</v>
      </c>
      <c r="C45" s="34">
        <f>IFERROR(VLOOKUP(A45,Insumos!A:E,5,FALSE)*B45,"")</f>
        <v>1.00772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 t="s">
        <v>171</v>
      </c>
      <c r="B46" s="33">
        <v>2.0</v>
      </c>
      <c r="C46" s="34">
        <f>IFERROR(VLOOKUP(A46,Insumos!A:E,5,FALSE)*B46,"")</f>
        <v>0.92315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 t="s">
        <v>162</v>
      </c>
      <c r="B47" s="33">
        <v>4.0</v>
      </c>
      <c r="C47" s="34">
        <f>IFERROR(VLOOKUP(A47,Insumos!A:E,5,FALSE)*B47,"")</f>
        <v>1.188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 t="s">
        <v>141</v>
      </c>
      <c r="B48" s="33">
        <v>1.0</v>
      </c>
      <c r="C48" s="34">
        <f>IFERROR(VLOOKUP(A48,Insumos!A:E,5,FALSE)*B48,"")</f>
        <v>0.128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4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 t="s">
        <v>19</v>
      </c>
      <c r="B50" s="33"/>
      <c r="C50" s="35">
        <f>SUM(C51:C58)</f>
        <v>11.39705586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 t="s">
        <v>134</v>
      </c>
      <c r="B51" s="33">
        <v>1.0</v>
      </c>
      <c r="C51" s="34">
        <f>IFERROR(VLOOKUP(A51,Insumos!A:E,5,FALSE)*B51,"")</f>
        <v>1.7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 t="s">
        <v>164</v>
      </c>
      <c r="B52" s="33">
        <v>2.0</v>
      </c>
      <c r="C52" s="34">
        <f>IFERROR(VLOOKUP(A52,Insumos!A:E,5,FALSE)*B52,"")</f>
        <v>3.9984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 t="s">
        <v>159</v>
      </c>
      <c r="B53" s="33">
        <v>2.0</v>
      </c>
      <c r="C53" s="34">
        <f>IFERROR(VLOOKUP(A53,Insumos!A:E,5,FALSE)*B53,"")</f>
        <v>1.3596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 t="s">
        <v>157</v>
      </c>
      <c r="B54" s="33">
        <v>1.0</v>
      </c>
      <c r="C54" s="34">
        <f>IFERROR(VLOOKUP(A54,Insumos!A:E,5,FALSE)*B54,"")</f>
        <v>2.905405405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 t="s">
        <v>167</v>
      </c>
      <c r="B55" s="33">
        <v>1.0</v>
      </c>
      <c r="C55" s="34">
        <f>IFERROR(VLOOKUP(A55,Insumos!A:E,5,FALSE)*B55,"")</f>
        <v>0.723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 t="s">
        <v>169</v>
      </c>
      <c r="B56" s="33">
        <v>1.0</v>
      </c>
      <c r="C56" s="34">
        <f>IFERROR(VLOOKUP(A56,Insumos!A:E,5,FALSE)*B56,"")</f>
        <v>0.3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 t="s">
        <v>170</v>
      </c>
      <c r="B57" s="33">
        <v>1.0</v>
      </c>
      <c r="C57" s="34">
        <f>IFERROR(VLOOKUP(A57,Insumos!A:E,5,FALSE)*B57,"")</f>
        <v>0.2826504591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 t="s">
        <v>141</v>
      </c>
      <c r="B58" s="33">
        <v>1.0</v>
      </c>
      <c r="C58" s="34">
        <f>IFERROR(VLOOKUP(A58,Insumos!A:E,5,FALSE)*B58,"")</f>
        <v>0.128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4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 t="s">
        <v>56</v>
      </c>
      <c r="B60" s="33"/>
      <c r="C60" s="35">
        <f>SUM(C61:C68)</f>
        <v>11.97708611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 t="s">
        <v>134</v>
      </c>
      <c r="B61" s="33">
        <v>1.0</v>
      </c>
      <c r="C61" s="34">
        <f>IFERROR(VLOOKUP(A61,Insumos!A:E,5,FALSE)*B61,"")</f>
        <v>1.7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 t="s">
        <v>164</v>
      </c>
      <c r="B62" s="33">
        <v>2.0</v>
      </c>
      <c r="C62" s="34">
        <f>IFERROR(VLOOKUP(A62,Insumos!A:E,5,FALSE)*B62,"")</f>
        <v>3.9984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 t="s">
        <v>160</v>
      </c>
      <c r="B63" s="33">
        <v>2.0</v>
      </c>
      <c r="C63" s="34">
        <f>IFERROR(VLOOKUP(A63,Insumos!A:E,5,FALSE)*B63,"")</f>
        <v>1.00772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 t="s">
        <v>170</v>
      </c>
      <c r="B64" s="33">
        <v>1.0</v>
      </c>
      <c r="C64" s="34">
        <f>IFERROR(VLOOKUP(A64,Insumos!A:E,5,FALSE)*B64,"")</f>
        <v>0.2826504591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 t="s">
        <v>173</v>
      </c>
      <c r="B65" s="33">
        <v>1.0</v>
      </c>
      <c r="C65" s="34">
        <f>IFERROR(VLOOKUP(A65,Insumos!A:E,5,FALSE)*B65,"")</f>
        <v>1.454064893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 t="s">
        <v>172</v>
      </c>
      <c r="B66" s="33">
        <v>1.0</v>
      </c>
      <c r="C66" s="34">
        <f>IFERROR(VLOOKUP(A66,Insumos!A:E,5,FALSE)*B66,"")</f>
        <v>0.5008453497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 t="s">
        <v>157</v>
      </c>
      <c r="B67" s="33">
        <v>1.0</v>
      </c>
      <c r="C67" s="34">
        <f>IFERROR(VLOOKUP(A67,Insumos!A:E,5,FALSE)*B67,"")</f>
        <v>2.905405405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 t="s">
        <v>141</v>
      </c>
      <c r="B68" s="33">
        <v>1.0</v>
      </c>
      <c r="C68" s="34">
        <f>IFERROR(VLOOKUP(A68,Insumos!A:E,5,FALSE)*B68,"")</f>
        <v>0.128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4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 t="s">
        <v>29</v>
      </c>
      <c r="B70" s="33"/>
      <c r="C70" s="35">
        <f>SUM(C71:C78)</f>
        <v>11.88262121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 t="s">
        <v>134</v>
      </c>
      <c r="B71" s="33">
        <v>1.0</v>
      </c>
      <c r="C71" s="34">
        <f>IFERROR(VLOOKUP(A71,Insumos!A:E,5,FALSE)*B71,"")</f>
        <v>1.7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 t="s">
        <v>164</v>
      </c>
      <c r="B72" s="33">
        <v>2.0</v>
      </c>
      <c r="C72" s="34">
        <f>IFERROR(VLOOKUP(A72,Insumos!A:E,5,FALSE)*B72,"")</f>
        <v>3.9984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 t="s">
        <v>160</v>
      </c>
      <c r="B73" s="33">
        <v>2.0</v>
      </c>
      <c r="C73" s="34">
        <f>IFERROR(VLOOKUP(A73,Insumos!A:E,5,FALSE)*B73,"")</f>
        <v>1.00772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 t="s">
        <v>170</v>
      </c>
      <c r="B74" s="33">
        <v>1.0</v>
      </c>
      <c r="C74" s="34">
        <f>IFERROR(VLOOKUP(A74,Insumos!A:E,5,FALSE)*B74,"")</f>
        <v>0.2826504591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 t="s">
        <v>159</v>
      </c>
      <c r="B75" s="33">
        <v>2.0</v>
      </c>
      <c r="C75" s="34">
        <f>IFERROR(VLOOKUP(A75,Insumos!A:E,5,FALSE)*B75,"")</f>
        <v>1.3596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 t="s">
        <v>172</v>
      </c>
      <c r="B76" s="33">
        <v>1.0</v>
      </c>
      <c r="C76" s="34">
        <f>IFERROR(VLOOKUP(A76,Insumos!A:E,5,FALSE)*B76,"")</f>
        <v>0.5008453497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 t="s">
        <v>157</v>
      </c>
      <c r="B77" s="33">
        <v>1.0</v>
      </c>
      <c r="C77" s="34">
        <f>IFERROR(VLOOKUP(A77,Insumos!A:E,5,FALSE)*B77,"")</f>
        <v>2.905405405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 t="s">
        <v>141</v>
      </c>
      <c r="B78" s="33">
        <v>1.0</v>
      </c>
      <c r="C78" s="34">
        <f>IFERROR(VLOOKUP(A78,Insumos!A:E,5,FALSE)*B78,"")</f>
        <v>0.128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4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 t="s">
        <v>32</v>
      </c>
      <c r="B80" s="33"/>
      <c r="C80" s="35">
        <f>SUM(C81:C91)</f>
        <v>17.06743086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 t="s">
        <v>134</v>
      </c>
      <c r="B81" s="33">
        <v>1.0</v>
      </c>
      <c r="C81" s="34">
        <f>IFERROR(VLOOKUP(A81,Insumos!A:E,5,FALSE)*B81,"")</f>
        <v>1.7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 t="s">
        <v>164</v>
      </c>
      <c r="B82" s="33">
        <v>3.0</v>
      </c>
      <c r="C82" s="34">
        <f>IFERROR(VLOOKUP(A82,Insumos!A:E,5,FALSE)*B82,"")</f>
        <v>5.9976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 t="s">
        <v>160</v>
      </c>
      <c r="B83" s="33">
        <v>5.0</v>
      </c>
      <c r="C83" s="34">
        <f>IFERROR(VLOOKUP(A83,Insumos!A:E,5,FALSE)*B83,"")</f>
        <v>2.5193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 t="s">
        <v>159</v>
      </c>
      <c r="B84" s="33">
        <v>2.0</v>
      </c>
      <c r="C84" s="34">
        <f>IFERROR(VLOOKUP(A84,Insumos!A:E,5,FALSE)*B84,"")</f>
        <v>1.3596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 t="s">
        <v>157</v>
      </c>
      <c r="B85" s="33">
        <v>1.0</v>
      </c>
      <c r="C85" s="34">
        <f>IFERROR(VLOOKUP(A85,Insumos!A:E,5,FALSE)*B85,"")</f>
        <v>2.905405405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 t="s">
        <v>170</v>
      </c>
      <c r="B86" s="33">
        <v>1.0</v>
      </c>
      <c r="C86" s="34">
        <f>IFERROR(VLOOKUP(A86,Insumos!A:E,5,FALSE)*B86,"")</f>
        <v>0.2826504591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 t="s">
        <v>189</v>
      </c>
      <c r="B87" s="33">
        <v>1.0</v>
      </c>
      <c r="C87" s="34">
        <f>IFERROR(VLOOKUP(A87,Insumos!A:E,5,FALSE)*B87,"")</f>
        <v>0.0675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 t="s">
        <v>167</v>
      </c>
      <c r="B88" s="33">
        <v>1.0</v>
      </c>
      <c r="C88" s="34">
        <f>IFERROR(VLOOKUP(A88,Insumos!A:E,5,FALSE)*B88,"")</f>
        <v>0.723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 t="s">
        <v>168</v>
      </c>
      <c r="B89" s="33">
        <v>1.0</v>
      </c>
      <c r="C89" s="34">
        <f>IFERROR(VLOOKUP(A89,Insumos!A:E,5,FALSE)*B89,"")</f>
        <v>0.24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 t="s">
        <v>165</v>
      </c>
      <c r="B90" s="33">
        <v>1.0</v>
      </c>
      <c r="C90" s="34">
        <f>IFERROR(VLOOKUP(A90,Insumos!A:E,5,FALSE)*B90,"")</f>
        <v>1.144375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 t="s">
        <v>141</v>
      </c>
      <c r="B91" s="33">
        <v>1.0</v>
      </c>
      <c r="C91" s="34">
        <f>IFERROR(VLOOKUP(A91,Insumos!A:E,5,FALSE)*B91,"")</f>
        <v>0.128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4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 t="s">
        <v>11</v>
      </c>
      <c r="B93" s="33"/>
      <c r="C93" s="35">
        <f>SUM(C94:C101)</f>
        <v>4.915106512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 t="s">
        <v>175</v>
      </c>
      <c r="B94" s="33">
        <v>1.0</v>
      </c>
      <c r="C94" s="34">
        <f>IFERROR(VLOOKUP(A94,Insumos!A:E,5,FALSE)*B94,"")</f>
        <v>1.385921053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 t="s">
        <v>189</v>
      </c>
      <c r="B95" s="33">
        <v>1.0</v>
      </c>
      <c r="C95" s="34">
        <f>IFERROR(VLOOKUP(A95,Insumos!A:E,5,FALSE)*B95,"")</f>
        <v>0.0675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 t="s">
        <v>167</v>
      </c>
      <c r="B96" s="33">
        <v>1.0</v>
      </c>
      <c r="C96" s="34">
        <f>IFERROR(VLOOKUP(A96,Insumos!A:E,5,FALSE)*B96,"")</f>
        <v>0.723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 t="s">
        <v>165</v>
      </c>
      <c r="B97" s="33">
        <v>1.0</v>
      </c>
      <c r="C97" s="34">
        <f>IFERROR(VLOOKUP(A97,Insumos!A:E,5,FALSE)*B97,"")</f>
        <v>1.144375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 t="s">
        <v>160</v>
      </c>
      <c r="B98" s="33">
        <v>1.0</v>
      </c>
      <c r="C98" s="34">
        <f>IFERROR(VLOOKUP(A98,Insumos!A:E,5,FALSE)*B98,"")</f>
        <v>0.50386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 t="s">
        <v>159</v>
      </c>
      <c r="B99" s="33">
        <v>1.0</v>
      </c>
      <c r="C99" s="34">
        <f>IFERROR(VLOOKUP(A99,Insumos!A:E,5,FALSE)*B99,"")</f>
        <v>0.6798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 t="s">
        <v>170</v>
      </c>
      <c r="B100" s="33">
        <v>1.0</v>
      </c>
      <c r="C100" s="34">
        <f>IFERROR(VLOOKUP(A100,Insumos!A:E,5,FALSE)*B100,"")</f>
        <v>0.2826504591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 t="s">
        <v>141</v>
      </c>
      <c r="B101" s="33">
        <v>1.0</v>
      </c>
      <c r="C101" s="34">
        <f>IFERROR(VLOOKUP(A101,Insumos!A:E,5,FALSE)*B101,"")</f>
        <v>0.128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 t="s">
        <v>39</v>
      </c>
      <c r="B103" s="33"/>
      <c r="C103" s="35">
        <f>SUM(C104:C111)</f>
        <v>8.147270459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 t="s">
        <v>134</v>
      </c>
      <c r="B104" s="33">
        <v>1.0</v>
      </c>
      <c r="C104" s="34">
        <f>IFERROR(VLOOKUP(A104,Insumos!A:E,5,FALSE)*B104,"")</f>
        <v>1.7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 t="s">
        <v>164</v>
      </c>
      <c r="B105" s="33">
        <v>2.0</v>
      </c>
      <c r="C105" s="34">
        <f>IFERROR(VLOOKUP(A105,Insumos!A:E,5,FALSE)*B105,"")</f>
        <v>3.9984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 t="s">
        <v>160</v>
      </c>
      <c r="B106" s="33">
        <v>2.0</v>
      </c>
      <c r="C106" s="34">
        <f>IFERROR(VLOOKUP(A106,Insumos!A:E,5,FALSE)*B106,"")</f>
        <v>1.00772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 t="s">
        <v>170</v>
      </c>
      <c r="B107" s="33">
        <v>1.0</v>
      </c>
      <c r="C107" s="34">
        <f>IFERROR(VLOOKUP(A107,Insumos!A:E,5,FALSE)*B107,"")</f>
        <v>0.2826504591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 t="s">
        <v>189</v>
      </c>
      <c r="B108" s="33">
        <v>1.0</v>
      </c>
      <c r="C108" s="34">
        <f>IFERROR(VLOOKUP(A108,Insumos!A:E,5,FALSE)*B108,"")</f>
        <v>0.0675</v>
      </c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 t="s">
        <v>167</v>
      </c>
      <c r="B109" s="33">
        <v>1.0</v>
      </c>
      <c r="C109" s="34">
        <f>IFERROR(VLOOKUP(A109,Insumos!A:E,5,FALSE)*B109,"")</f>
        <v>0.723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 t="s">
        <v>168</v>
      </c>
      <c r="B110" s="33">
        <v>1.0</v>
      </c>
      <c r="C110" s="34">
        <f>IFERROR(VLOOKUP(A110,Insumos!A:E,5,FALSE)*B110,"")</f>
        <v>0.24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 t="s">
        <v>141</v>
      </c>
      <c r="B111" s="33">
        <v>1.0</v>
      </c>
      <c r="C111" s="34">
        <f>IFERROR(VLOOKUP(A111,Insumos!A:E,5,FALSE)*B111,"")</f>
        <v>0.128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4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6" t="s">
        <v>190</v>
      </c>
      <c r="B113" s="33"/>
      <c r="C113" s="35">
        <f>SUM(C114:C121)</f>
        <v>9.956701836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 t="s">
        <v>164</v>
      </c>
      <c r="B114" s="36">
        <v>1.0</v>
      </c>
      <c r="C114" s="34">
        <f>IFERROR(VLOOKUP(A114,Insumos!A:E,5,FALSE)*B114,"")</f>
        <v>1.9992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6" t="s">
        <v>178</v>
      </c>
      <c r="B115" s="36">
        <v>1.0</v>
      </c>
      <c r="C115" s="34">
        <f>IFERROR(VLOOKUP(A115,Insumos!A:E,5,FALSE)*B115,"")</f>
        <v>1.44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6" t="s">
        <v>177</v>
      </c>
      <c r="B116" s="36">
        <v>1.0</v>
      </c>
      <c r="C116" s="34">
        <f>IFERROR(VLOOKUP(A116,Insumos!A:E,5,FALSE)*B116,"")</f>
        <v>1.58</v>
      </c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6" t="s">
        <v>159</v>
      </c>
      <c r="B117" s="36">
        <v>3.0</v>
      </c>
      <c r="C117" s="34">
        <f>IFERROR(VLOOKUP(A117,Insumos!A:E,5,FALSE)*B117,"")</f>
        <v>2.0394</v>
      </c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6" t="s">
        <v>166</v>
      </c>
      <c r="B118" s="36">
        <v>1.0</v>
      </c>
      <c r="C118" s="34">
        <f>IFERROR(VLOOKUP(A118,Insumos!A:E,5,FALSE)*B118,"")</f>
        <v>0.0675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 t="s">
        <v>134</v>
      </c>
      <c r="B119" s="36">
        <v>1.0</v>
      </c>
      <c r="C119" s="34">
        <f>IFERROR(VLOOKUP(A119,Insumos!A:E,5,FALSE)*B119,"")</f>
        <v>1.7</v>
      </c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6" t="s">
        <v>170</v>
      </c>
      <c r="B120" s="36">
        <v>4.0</v>
      </c>
      <c r="C120" s="34">
        <f>IFERROR(VLOOKUP(A120,Insumos!A:E,5,FALSE)*B120,"")</f>
        <v>1.130601836</v>
      </c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4" t="str">
        <f>IFERROR(VLOOKUP(A121,Insumos!A:E,5,FALSE)*B121,"")</f>
        <v/>
      </c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4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4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4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4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4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4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4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4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4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4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4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4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4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4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4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4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4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4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4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4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4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4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4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4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4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4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4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4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4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4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4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4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4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4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4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4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4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4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4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4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4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4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4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4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4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4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4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4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4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4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4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4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4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4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4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4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4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4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4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4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4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4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4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4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4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4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4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4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4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4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4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4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4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4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4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4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4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4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4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4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4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4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4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4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4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4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4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4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4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4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4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4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4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4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4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4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4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4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4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4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4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4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4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4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4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4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4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4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4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4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4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4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4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4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4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4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4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4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4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4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4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4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4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4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4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4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4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4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4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4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4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4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4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4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4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4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4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4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4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4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4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4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4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4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4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4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4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4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4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4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4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4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4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4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4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4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4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4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4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4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4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4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4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4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4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4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4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4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4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4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4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4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4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4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4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4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4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4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4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4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4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4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4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4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4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4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4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4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4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4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4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4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4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4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4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4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4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4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4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4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4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4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4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4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4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4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4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4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4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4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4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4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4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4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4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4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4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4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4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4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4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4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4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4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4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4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4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4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4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4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4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4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4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4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4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4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4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4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4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4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4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4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4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4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4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4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4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4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4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4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4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4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4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4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4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4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4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4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4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4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4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4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4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4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4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4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4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4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4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4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4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4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4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4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4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4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4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4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4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4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4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4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4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4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4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4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4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4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4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4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4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4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4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4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4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4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4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4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4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4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4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4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4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4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4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4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4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4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4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4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4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4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4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4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4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4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4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4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4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4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4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4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4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4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4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4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4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4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4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4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4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4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4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4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4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4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4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4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4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4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4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4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4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4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4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4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4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4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4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4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4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4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4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4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4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4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4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4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4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4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4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4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4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4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4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4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4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4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4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4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4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4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4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4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4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4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4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4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4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4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4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4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4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4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4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4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4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4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4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4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4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4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4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4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4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4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4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4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4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4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4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4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4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4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4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4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4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4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4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4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4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4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4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4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4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4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4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4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4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4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4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4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4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4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4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4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4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4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4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4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4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4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4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4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4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4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4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4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4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4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4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4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4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4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4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4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4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4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4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4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4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4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4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4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4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4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4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4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4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4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4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4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4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4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4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4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4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4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4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4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4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4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4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4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4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4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4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4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4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4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4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4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4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4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4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4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4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4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4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4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4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4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4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4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4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4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4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4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4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4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4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4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4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4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4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4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4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4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4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4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4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4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4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4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4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4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4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4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4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4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4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4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4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4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4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4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4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4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4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4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4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4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4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4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4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4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4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4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4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4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4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4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4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4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4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4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4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4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4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4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4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4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4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4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4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4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4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4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4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4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4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4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4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4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4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4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4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4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4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4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4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4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4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4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4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4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4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4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4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4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4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4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4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4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4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4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4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4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4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4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4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4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4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4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4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4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4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4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4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4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4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4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4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4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4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4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4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4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4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4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4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4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4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4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4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4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4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4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4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4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4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4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4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4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4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4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4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4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4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4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4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4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4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4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4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4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4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4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4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4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4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4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4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4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4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4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4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4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4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4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4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4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4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4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4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4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4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4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4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4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4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4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4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4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4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4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4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4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4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4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4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4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4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4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4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4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4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4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4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4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4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4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4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4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4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4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4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4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4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4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4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4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4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4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4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4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4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4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4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4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4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4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4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4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4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4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4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4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4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4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4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4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4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4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4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4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4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4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4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4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4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4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4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4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4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4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4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4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4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4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4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4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4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4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4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4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4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4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4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4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4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4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4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4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4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4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4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4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4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4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4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4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4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4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4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4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4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4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4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4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4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4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4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4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4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4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4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4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4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4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4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4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4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4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4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4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4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4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4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4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4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4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4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4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4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4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4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4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4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4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4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4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4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4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4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4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4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4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4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4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4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4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4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4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4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4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4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4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4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4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4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4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4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4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4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4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4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4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4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4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4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4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4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4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4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4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4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4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4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4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4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4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4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4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4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4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4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4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4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4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4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ataValidations>
    <dataValidation type="list" allowBlank="1" showErrorMessage="1" sqref="A114:A121">
      <formula1>Insumos!$A$2:$A$84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0.86"/>
    <col customWidth="1" min="3" max="3" width="9.57"/>
    <col customWidth="1" min="4" max="5" width="8.71"/>
    <col customWidth="1" min="6" max="6" width="21.86"/>
    <col customWidth="1" min="7" max="7" width="21.43"/>
    <col customWidth="1" min="8" max="26" width="8.71"/>
  </cols>
  <sheetData>
    <row r="1">
      <c r="C1" s="18" t="s">
        <v>3</v>
      </c>
      <c r="F1" s="37"/>
    </row>
    <row r="2">
      <c r="A2" s="18" t="s">
        <v>13</v>
      </c>
      <c r="B2" s="18">
        <v>1.0</v>
      </c>
      <c r="C2" s="38">
        <f>SUM(C3:C5)</f>
        <v>3.272307692</v>
      </c>
      <c r="F2" s="37"/>
    </row>
    <row r="3">
      <c r="A3" s="18" t="s">
        <v>161</v>
      </c>
      <c r="B3" s="18">
        <v>1.0</v>
      </c>
      <c r="C3" s="39">
        <f>IFERROR(VLOOKUP(A3,Insumos!A:E,5,FALSE)*B3,"")</f>
        <v>2.352307692</v>
      </c>
      <c r="F3" s="37"/>
    </row>
    <row r="4">
      <c r="A4" s="18" t="s">
        <v>108</v>
      </c>
      <c r="B4" s="18">
        <v>1.0</v>
      </c>
      <c r="C4" s="39">
        <f>IFERROR(VLOOKUP(A4,Insumos!A:E,5,FALSE)*B4,"")</f>
        <v>0.86</v>
      </c>
      <c r="F4" s="37"/>
    </row>
    <row r="5">
      <c r="A5" s="18" t="s">
        <v>123</v>
      </c>
      <c r="B5" s="18">
        <v>1.0</v>
      </c>
      <c r="C5" s="39">
        <f>IFERROR(VLOOKUP(A5,Insumos!A:E,5,FALSE)*B5,"")</f>
        <v>0.06</v>
      </c>
      <c r="F5" s="37"/>
    </row>
    <row r="6">
      <c r="F6" s="37"/>
    </row>
    <row r="7">
      <c r="A7" s="18" t="s">
        <v>23</v>
      </c>
      <c r="B7" s="18">
        <v>1.0</v>
      </c>
      <c r="C7" s="38">
        <f>SUM(C8:C10)</f>
        <v>5.624615385</v>
      </c>
      <c r="F7" s="37"/>
    </row>
    <row r="8">
      <c r="A8" s="18" t="s">
        <v>161</v>
      </c>
      <c r="B8" s="18">
        <v>2.0</v>
      </c>
      <c r="C8" s="39">
        <f>IFERROR(VLOOKUP(A8,Insumos!A:E,5,FALSE)*B8,"")</f>
        <v>4.704615385</v>
      </c>
      <c r="F8" s="37"/>
    </row>
    <row r="9">
      <c r="A9" s="18" t="s">
        <v>108</v>
      </c>
      <c r="B9" s="18">
        <v>1.0</v>
      </c>
      <c r="C9" s="39">
        <f>IFERROR(VLOOKUP(A9,Insumos!A:E,5,FALSE)*B9,"")</f>
        <v>0.86</v>
      </c>
      <c r="F9" s="37"/>
    </row>
    <row r="10">
      <c r="A10" s="18" t="s">
        <v>123</v>
      </c>
      <c r="B10" s="18">
        <v>1.0</v>
      </c>
      <c r="C10" s="39">
        <f>IFERROR(VLOOKUP(A10,Insumos!A:E,5,FALSE)*B10,"")</f>
        <v>0.06</v>
      </c>
      <c r="F10" s="37"/>
    </row>
    <row r="11">
      <c r="F11" s="37"/>
    </row>
    <row r="12">
      <c r="A12" s="18" t="s">
        <v>35</v>
      </c>
      <c r="B12" s="18">
        <v>1.0</v>
      </c>
      <c r="C12" s="38">
        <f>SUM(C13:C15)</f>
        <v>10.32923077</v>
      </c>
      <c r="F12" s="37"/>
    </row>
    <row r="13">
      <c r="A13" s="18" t="s">
        <v>161</v>
      </c>
      <c r="B13" s="18">
        <v>4.0</v>
      </c>
      <c r="C13" s="39">
        <f>IFERROR(VLOOKUP(A13,Insumos!A:E,5,FALSE)*B13,"")</f>
        <v>9.409230769</v>
      </c>
      <c r="F13" s="37"/>
    </row>
    <row r="14">
      <c r="A14" s="18" t="s">
        <v>106</v>
      </c>
      <c r="B14" s="18">
        <v>1.0</v>
      </c>
      <c r="C14" s="39">
        <f>IFERROR(VLOOKUP(A14,Insumos!A:E,5,FALSE)*B14,"")</f>
        <v>0.86</v>
      </c>
      <c r="F14" s="37"/>
    </row>
    <row r="15">
      <c r="A15" s="18" t="s">
        <v>123</v>
      </c>
      <c r="B15" s="18">
        <v>1.0</v>
      </c>
      <c r="C15" s="39">
        <f>IFERROR(VLOOKUP(A15,Insumos!A:E,5,FALSE)*B15,"")</f>
        <v>0.06</v>
      </c>
      <c r="F15" s="37"/>
    </row>
    <row r="16">
      <c r="F16" s="37"/>
    </row>
    <row r="17">
      <c r="A17" s="18" t="s">
        <v>14</v>
      </c>
      <c r="B17" s="18">
        <v>1.0</v>
      </c>
      <c r="C17" s="38">
        <f>SUM(C18:C20)</f>
        <v>3.296</v>
      </c>
      <c r="F17" s="37"/>
    </row>
    <row r="18">
      <c r="A18" s="18" t="s">
        <v>162</v>
      </c>
      <c r="B18" s="18">
        <v>8.0</v>
      </c>
      <c r="C18" s="39">
        <f>IFERROR(VLOOKUP(A18,Insumos!A:E,5,FALSE)*B18,"")</f>
        <v>2.376</v>
      </c>
      <c r="F18" s="37"/>
    </row>
    <row r="19">
      <c r="A19" s="18" t="s">
        <v>108</v>
      </c>
      <c r="B19" s="18">
        <v>1.0</v>
      </c>
      <c r="C19" s="39">
        <f>IFERROR(VLOOKUP(A19,Insumos!A:E,5,FALSE)*B19,"")</f>
        <v>0.86</v>
      </c>
      <c r="F19" s="37"/>
    </row>
    <row r="20" ht="15.75" customHeight="1">
      <c r="A20" s="18" t="s">
        <v>123</v>
      </c>
      <c r="B20" s="18">
        <v>1.0</v>
      </c>
      <c r="C20" s="39">
        <f>IFERROR(VLOOKUP(A20,Insumos!A:E,5,FALSE)*B20,"")</f>
        <v>0.06</v>
      </c>
      <c r="F20" s="37"/>
    </row>
    <row r="21" ht="15.75" customHeight="1">
      <c r="F21" s="37"/>
    </row>
    <row r="22" ht="15.75" customHeight="1">
      <c r="A22" s="18" t="s">
        <v>16</v>
      </c>
      <c r="B22" s="18">
        <v>1.0</v>
      </c>
      <c r="C22" s="38">
        <f>SUM(C23:C25)</f>
        <v>4.484</v>
      </c>
      <c r="F22" s="37"/>
    </row>
    <row r="23" ht="15.75" customHeight="1">
      <c r="A23" s="18" t="s">
        <v>162</v>
      </c>
      <c r="B23" s="18">
        <v>12.0</v>
      </c>
      <c r="C23" s="39">
        <f>IFERROR(VLOOKUP(A23,Insumos!A:E,5,FALSE)*B23,"")</f>
        <v>3.564</v>
      </c>
      <c r="F23" s="37"/>
    </row>
    <row r="24" ht="15.75" customHeight="1">
      <c r="A24" s="18" t="s">
        <v>108</v>
      </c>
      <c r="B24" s="18">
        <v>1.0</v>
      </c>
      <c r="C24" s="39">
        <f>IFERROR(VLOOKUP(A24,Insumos!A:E,5,FALSE)*B24,"")</f>
        <v>0.86</v>
      </c>
      <c r="F24" s="37"/>
    </row>
    <row r="25" ht="15.75" customHeight="1">
      <c r="A25" s="18" t="s">
        <v>123</v>
      </c>
      <c r="B25" s="18">
        <v>1.0</v>
      </c>
      <c r="C25" s="39">
        <f>IFERROR(VLOOKUP(A25,Insumos!A:E,5,FALSE)*B25,"")</f>
        <v>0.06</v>
      </c>
      <c r="F25" s="37"/>
    </row>
    <row r="26" ht="15.75" customHeight="1">
      <c r="F26" s="37"/>
    </row>
    <row r="27" ht="15.75" customHeight="1">
      <c r="A27" s="18" t="s">
        <v>17</v>
      </c>
      <c r="B27" s="18">
        <v>1.0</v>
      </c>
      <c r="C27" s="38">
        <f>SUM(C28:C30)</f>
        <v>6.86</v>
      </c>
      <c r="F27" s="37"/>
    </row>
    <row r="28" ht="15.75" customHeight="1">
      <c r="A28" s="18" t="s">
        <v>162</v>
      </c>
      <c r="B28" s="18">
        <v>20.0</v>
      </c>
      <c r="C28" s="39">
        <f>IFERROR(VLOOKUP(A28,Insumos!A:E,5,FALSE)*B28,"")</f>
        <v>5.94</v>
      </c>
      <c r="F28" s="37"/>
    </row>
    <row r="29" ht="15.75" customHeight="1">
      <c r="A29" s="18" t="s">
        <v>106</v>
      </c>
      <c r="B29" s="18">
        <v>1.0</v>
      </c>
      <c r="C29" s="39">
        <f>IFERROR(VLOOKUP(A29,Insumos!A:E,5,FALSE)*B29,"")</f>
        <v>0.86</v>
      </c>
      <c r="F29" s="37"/>
    </row>
    <row r="30" ht="15.75" customHeight="1">
      <c r="A30" s="18" t="s">
        <v>123</v>
      </c>
      <c r="B30" s="18">
        <v>1.0</v>
      </c>
      <c r="C30" s="39">
        <f>IFERROR(VLOOKUP(A30,Insumos!A:E,5,FALSE)*B30,"")</f>
        <v>0.06</v>
      </c>
      <c r="F30" s="37"/>
    </row>
    <row r="31" ht="15.75" customHeight="1">
      <c r="F31" s="37"/>
    </row>
    <row r="32" ht="15.75" customHeight="1">
      <c r="A32" s="18" t="s">
        <v>24</v>
      </c>
      <c r="B32" s="18">
        <v>1.0</v>
      </c>
      <c r="C32" s="38">
        <f>SUM(C33:C35)</f>
        <v>4.631701538</v>
      </c>
      <c r="F32" s="37"/>
    </row>
    <row r="33" ht="15.75" customHeight="1">
      <c r="A33" s="18" t="s">
        <v>163</v>
      </c>
      <c r="B33" s="18">
        <v>8.0</v>
      </c>
      <c r="C33" s="39">
        <f>IFERROR(VLOOKUP(A33,Insumos!A:E,5,FALSE)*B33,"")</f>
        <v>3.711701538</v>
      </c>
      <c r="F33" s="37"/>
    </row>
    <row r="34" ht="15.75" customHeight="1">
      <c r="A34" s="18" t="s">
        <v>108</v>
      </c>
      <c r="B34" s="18">
        <v>1.0</v>
      </c>
      <c r="C34" s="39">
        <f>IFERROR(VLOOKUP(A34,Insumos!A:E,5,FALSE)*B34,"")</f>
        <v>0.86</v>
      </c>
      <c r="F34" s="37"/>
    </row>
    <row r="35" ht="15.75" customHeight="1">
      <c r="A35" s="18" t="s">
        <v>123</v>
      </c>
      <c r="B35" s="18">
        <v>1.0</v>
      </c>
      <c r="C35" s="39">
        <f>IFERROR(VLOOKUP(A35,Insumos!A:E,5,FALSE)*B35,"")</f>
        <v>0.06</v>
      </c>
      <c r="F35" s="37"/>
    </row>
    <row r="36" ht="15.75" customHeight="1">
      <c r="F36" s="37"/>
    </row>
    <row r="37" ht="15.75" customHeight="1">
      <c r="A37" s="18" t="s">
        <v>38</v>
      </c>
      <c r="B37" s="18">
        <v>1.0</v>
      </c>
      <c r="C37" s="38">
        <f>SUM(C38:C40)</f>
        <v>7.879440385</v>
      </c>
      <c r="F37" s="37"/>
    </row>
    <row r="38" ht="15.75" customHeight="1">
      <c r="A38" s="18" t="s">
        <v>163</v>
      </c>
      <c r="B38" s="18">
        <v>15.0</v>
      </c>
      <c r="C38" s="39">
        <f>IFERROR(VLOOKUP(A38,Insumos!A:E,5,FALSE)*B38,"")</f>
        <v>6.959440385</v>
      </c>
      <c r="F38" s="37"/>
    </row>
    <row r="39" ht="15.75" customHeight="1">
      <c r="A39" s="18" t="s">
        <v>108</v>
      </c>
      <c r="B39" s="18">
        <v>1.0</v>
      </c>
      <c r="C39" s="39">
        <f>IFERROR(VLOOKUP(A39,Insumos!A:E,5,FALSE)*B39,"")</f>
        <v>0.86</v>
      </c>
      <c r="F39" s="37"/>
    </row>
    <row r="40" ht="15.75" customHeight="1">
      <c r="A40" s="18" t="s">
        <v>123</v>
      </c>
      <c r="B40" s="18">
        <v>1.0</v>
      </c>
      <c r="C40" s="39">
        <f>IFERROR(VLOOKUP(A40,Insumos!A:E,5,FALSE)*B40,"")</f>
        <v>0.06</v>
      </c>
      <c r="F40" s="37"/>
    </row>
    <row r="41" ht="15.75" customHeight="1">
      <c r="F41" s="37"/>
    </row>
    <row r="42" ht="15.75" customHeight="1">
      <c r="A42" s="18" t="s">
        <v>46</v>
      </c>
      <c r="B42" s="18">
        <v>1.0</v>
      </c>
      <c r="C42" s="38">
        <f>SUM(C43:C45)</f>
        <v>14.83888077</v>
      </c>
      <c r="F42" s="37"/>
    </row>
    <row r="43" ht="15.75" customHeight="1">
      <c r="A43" s="18" t="s">
        <v>163</v>
      </c>
      <c r="B43" s="18">
        <v>30.0</v>
      </c>
      <c r="C43" s="39">
        <f>IFERROR(VLOOKUP(A43,Insumos!A:E,5,FALSE)*B43,"")</f>
        <v>13.91888077</v>
      </c>
      <c r="F43" s="37"/>
    </row>
    <row r="44" ht="15.75" customHeight="1">
      <c r="A44" s="18" t="s">
        <v>108</v>
      </c>
      <c r="B44" s="18">
        <v>1.0</v>
      </c>
      <c r="C44" s="39">
        <f>IFERROR(VLOOKUP(A44,Insumos!A:E,5,FALSE)*B44,"")</f>
        <v>0.86</v>
      </c>
      <c r="F44" s="37"/>
    </row>
    <row r="45" ht="15.75" customHeight="1">
      <c r="A45" s="18" t="s">
        <v>123</v>
      </c>
      <c r="B45" s="18">
        <v>1.0</v>
      </c>
      <c r="C45" s="39">
        <f>IFERROR(VLOOKUP(A45,Insumos!A:E,5,FALSE)*B45,"")</f>
        <v>0.06</v>
      </c>
      <c r="F45" s="37"/>
    </row>
    <row r="46" ht="15.75" customHeight="1">
      <c r="F46" s="37"/>
    </row>
    <row r="47" ht="15.75" customHeight="1">
      <c r="A47" s="18" t="s">
        <v>41</v>
      </c>
      <c r="C47" s="38">
        <f>SUM(C48:C52)</f>
        <v>12.54289665</v>
      </c>
      <c r="F47" s="37"/>
    </row>
    <row r="48" ht="15.75" customHeight="1">
      <c r="A48" s="18" t="s">
        <v>161</v>
      </c>
      <c r="B48" s="18">
        <v>2.0</v>
      </c>
      <c r="C48" s="39">
        <f>IFERROR(VLOOKUP(A48,Insumos!A:E,5,FALSE)*B48,"")</f>
        <v>4.704615385</v>
      </c>
      <c r="F48" s="37"/>
    </row>
    <row r="49" ht="15.75" customHeight="1">
      <c r="A49" s="18" t="s">
        <v>176</v>
      </c>
      <c r="B49" s="18">
        <v>90.0</v>
      </c>
      <c r="C49" s="39">
        <f>IFERROR(VLOOKUP(A49,Insumos!A:E,5,FALSE)*B49,"")</f>
        <v>2.560173158</v>
      </c>
      <c r="F49" s="37"/>
    </row>
    <row r="50" ht="15.75" customHeight="1">
      <c r="A50" s="18" t="s">
        <v>158</v>
      </c>
      <c r="B50" s="18">
        <v>1.0</v>
      </c>
      <c r="C50" s="39">
        <f>IFERROR(VLOOKUP(A50,Insumos!A:E,5,FALSE)*B50,"")</f>
        <v>4.358108108</v>
      </c>
      <c r="F50" s="37"/>
    </row>
    <row r="51" ht="15.75" customHeight="1">
      <c r="A51" s="18" t="s">
        <v>106</v>
      </c>
      <c r="B51" s="18">
        <v>1.0</v>
      </c>
      <c r="C51" s="39">
        <f>IFERROR(VLOOKUP(A51,Insumos!A:E,5,FALSE)*B51,"")</f>
        <v>0.86</v>
      </c>
      <c r="F51" s="37"/>
    </row>
    <row r="52" ht="15.75" customHeight="1">
      <c r="A52" s="18" t="s">
        <v>123</v>
      </c>
      <c r="B52" s="18">
        <v>1.0</v>
      </c>
      <c r="C52" s="39">
        <f>IFERROR(VLOOKUP(A52,Insumos!A:E,5,FALSE)*B52,"")</f>
        <v>0.06</v>
      </c>
      <c r="F52" s="37"/>
    </row>
    <row r="53" ht="15.75" customHeight="1">
      <c r="F53" s="37"/>
    </row>
    <row r="54" ht="15.75" customHeight="1">
      <c r="A54" s="18" t="s">
        <v>42</v>
      </c>
      <c r="C54" s="38">
        <f>SUM(C55:C59)</f>
        <v>13.2543695</v>
      </c>
      <c r="F54" s="37"/>
    </row>
    <row r="55" ht="15.75" customHeight="1">
      <c r="A55" s="18" t="s">
        <v>161</v>
      </c>
      <c r="B55" s="18">
        <v>2.0</v>
      </c>
      <c r="C55" s="39">
        <f>IFERROR(VLOOKUP(A55,Insumos!A:E,5,FALSE)*B55,"")</f>
        <v>4.704615385</v>
      </c>
      <c r="F55" s="37"/>
    </row>
    <row r="56" ht="15.75" customHeight="1">
      <c r="A56" s="18" t="s">
        <v>88</v>
      </c>
      <c r="B56" s="18">
        <v>90.0</v>
      </c>
      <c r="C56" s="39">
        <f>IFERROR(VLOOKUP(A56,Insumos!A:E,5,FALSE)*B56,"")</f>
        <v>3.27164601</v>
      </c>
      <c r="F56" s="37"/>
    </row>
    <row r="57" ht="15.75" customHeight="1">
      <c r="A57" s="18" t="s">
        <v>158</v>
      </c>
      <c r="B57" s="18">
        <v>1.0</v>
      </c>
      <c r="C57" s="39">
        <f>IFERROR(VLOOKUP(A57,Insumos!A:E,5,FALSE)*B57,"")</f>
        <v>4.358108108</v>
      </c>
      <c r="F57" s="37"/>
    </row>
    <row r="58" ht="15.75" customHeight="1">
      <c r="A58" s="18" t="s">
        <v>106</v>
      </c>
      <c r="B58" s="18">
        <v>1.0</v>
      </c>
      <c r="C58" s="39">
        <f>IFERROR(VLOOKUP(A58,Insumos!A:E,5,FALSE)*B58,"")</f>
        <v>0.86</v>
      </c>
      <c r="F58" s="37"/>
    </row>
    <row r="59" ht="15.75" customHeight="1">
      <c r="A59" s="18" t="s">
        <v>123</v>
      </c>
      <c r="B59" s="18">
        <v>1.0</v>
      </c>
      <c r="C59" s="39">
        <f>IFERROR(VLOOKUP(A59,Insumos!A:E,5,FALSE)*B59,"")</f>
        <v>0.06</v>
      </c>
      <c r="F59" s="37"/>
    </row>
    <row r="60" ht="15.75" customHeight="1">
      <c r="F60" s="37"/>
    </row>
    <row r="61" ht="15.75" customHeight="1">
      <c r="A61" s="18" t="s">
        <v>20</v>
      </c>
      <c r="C61" s="38">
        <f>SUM(C62:C66)</f>
        <v>9.360009231</v>
      </c>
      <c r="F61" s="37"/>
    </row>
    <row r="62" ht="15.75" customHeight="1">
      <c r="A62" s="18" t="s">
        <v>161</v>
      </c>
      <c r="B62" s="18">
        <v>1.0</v>
      </c>
      <c r="C62" s="39">
        <f>IFERROR(VLOOKUP(A62,Insumos!A:E,5,FALSE)*B62,"")</f>
        <v>2.352307692</v>
      </c>
      <c r="F62" s="37"/>
    </row>
    <row r="63" ht="15.75" customHeight="1">
      <c r="A63" s="18" t="s">
        <v>162</v>
      </c>
      <c r="B63" s="18">
        <v>8.0</v>
      </c>
      <c r="C63" s="39">
        <f>IFERROR(VLOOKUP(A63,Insumos!A:E,5,FALSE)*B63,"")</f>
        <v>2.376</v>
      </c>
      <c r="F63" s="37"/>
    </row>
    <row r="64" ht="15.75" customHeight="1">
      <c r="A64" s="18" t="s">
        <v>163</v>
      </c>
      <c r="B64" s="18">
        <v>8.0</v>
      </c>
      <c r="C64" s="39">
        <f>IFERROR(VLOOKUP(A64,Insumos!A:E,5,FALSE)*B64,"")</f>
        <v>3.711701538</v>
      </c>
      <c r="F64" s="37"/>
    </row>
    <row r="65" ht="15.75" customHeight="1">
      <c r="A65" s="18" t="s">
        <v>106</v>
      </c>
      <c r="B65" s="18">
        <v>1.0</v>
      </c>
      <c r="C65" s="39">
        <f>IFERROR(VLOOKUP(A65,Insumos!A:E,5,FALSE)*B65,"")</f>
        <v>0.86</v>
      </c>
      <c r="F65" s="37"/>
    </row>
    <row r="66" ht="15.75" customHeight="1">
      <c r="A66" s="18" t="s">
        <v>123</v>
      </c>
      <c r="B66" s="18">
        <v>1.0</v>
      </c>
      <c r="C66" s="39">
        <f>IFERROR(VLOOKUP(A66,Insumos!A:E,5,FALSE)*B66,"")</f>
        <v>0.06</v>
      </c>
      <c r="F66" s="37"/>
    </row>
    <row r="67" ht="15.75" customHeight="1">
      <c r="F67" s="37"/>
    </row>
    <row r="68" ht="15.75" customHeight="1">
      <c r="F68" s="37"/>
    </row>
    <row r="69" ht="15.75" customHeight="1">
      <c r="F69" s="37"/>
    </row>
    <row r="70" ht="15.75" customHeight="1">
      <c r="F70" s="37"/>
    </row>
    <row r="71" ht="15.75" customHeight="1">
      <c r="F71" s="37"/>
    </row>
    <row r="72" ht="15.75" customHeight="1">
      <c r="F72" s="37"/>
    </row>
    <row r="73" ht="15.75" customHeight="1">
      <c r="F73" s="37"/>
    </row>
    <row r="74" ht="15.75" customHeight="1">
      <c r="F74" s="37"/>
    </row>
    <row r="75" ht="15.75" customHeight="1">
      <c r="F75" s="37"/>
    </row>
    <row r="76" ht="15.75" customHeight="1">
      <c r="F76" s="37"/>
    </row>
    <row r="77" ht="15.75" customHeight="1">
      <c r="F77" s="37"/>
    </row>
    <row r="78" ht="15.75" customHeight="1">
      <c r="F78" s="37"/>
    </row>
    <row r="79" ht="15.75" customHeight="1">
      <c r="F79" s="37"/>
    </row>
    <row r="80" ht="15.75" customHeight="1">
      <c r="F80" s="37"/>
    </row>
    <row r="81" ht="15.75" customHeight="1">
      <c r="F81" s="37"/>
    </row>
    <row r="82" ht="15.75" customHeight="1">
      <c r="F82" s="37"/>
    </row>
    <row r="83" ht="15.75" customHeight="1">
      <c r="F83" s="37"/>
    </row>
    <row r="84" ht="15.75" customHeight="1">
      <c r="F84" s="37"/>
    </row>
    <row r="85" ht="15.75" customHeight="1">
      <c r="F85" s="37"/>
    </row>
    <row r="86" ht="15.75" customHeight="1">
      <c r="F86" s="37"/>
    </row>
    <row r="87" ht="15.75" customHeight="1">
      <c r="F87" s="37"/>
    </row>
    <row r="88" ht="15.75" customHeight="1">
      <c r="F88" s="37"/>
    </row>
    <row r="89" ht="15.75" customHeight="1">
      <c r="F89" s="37"/>
    </row>
    <row r="90" ht="15.75" customHeight="1">
      <c r="F90" s="37"/>
    </row>
    <row r="91" ht="15.75" customHeight="1">
      <c r="F91" s="37"/>
    </row>
    <row r="92" ht="15.75" customHeight="1">
      <c r="F92" s="37"/>
    </row>
    <row r="93" ht="15.75" customHeight="1">
      <c r="F93" s="37"/>
    </row>
    <row r="94" ht="15.75" customHeight="1">
      <c r="F94" s="37"/>
    </row>
    <row r="95" ht="15.75" customHeight="1">
      <c r="F95" s="37"/>
    </row>
    <row r="96" ht="15.75" customHeight="1">
      <c r="F96" s="37"/>
    </row>
    <row r="97" ht="15.75" customHeight="1">
      <c r="F97" s="37"/>
    </row>
    <row r="98" ht="15.75" customHeight="1">
      <c r="F98" s="37"/>
    </row>
    <row r="99" ht="15.75" customHeight="1">
      <c r="F99" s="37"/>
    </row>
    <row r="100" ht="15.75" customHeight="1">
      <c r="F100" s="37"/>
    </row>
    <row r="101" ht="15.75" customHeight="1">
      <c r="F101" s="37"/>
    </row>
    <row r="102" ht="15.75" customHeight="1">
      <c r="F102" s="37"/>
    </row>
    <row r="103" ht="15.75" customHeight="1">
      <c r="F103" s="37"/>
    </row>
    <row r="104" ht="15.75" customHeight="1">
      <c r="F104" s="37"/>
    </row>
    <row r="105" ht="15.75" customHeight="1">
      <c r="F105" s="37"/>
    </row>
    <row r="106" ht="15.75" customHeight="1">
      <c r="F106" s="37"/>
    </row>
    <row r="107" ht="15.75" customHeight="1">
      <c r="F107" s="37"/>
    </row>
    <row r="108" ht="15.75" customHeight="1">
      <c r="F108" s="37"/>
    </row>
    <row r="109" ht="15.75" customHeight="1">
      <c r="F109" s="37"/>
    </row>
    <row r="110" ht="15.75" customHeight="1">
      <c r="F110" s="37"/>
    </row>
    <row r="111" ht="15.75" customHeight="1">
      <c r="F111" s="37"/>
    </row>
    <row r="112" ht="15.75" customHeight="1">
      <c r="F112" s="37"/>
    </row>
    <row r="113" ht="15.75" customHeight="1">
      <c r="F113" s="37"/>
    </row>
    <row r="114" ht="15.75" customHeight="1">
      <c r="F114" s="37"/>
    </row>
    <row r="115" ht="15.75" customHeight="1">
      <c r="F115" s="37"/>
    </row>
    <row r="116" ht="15.75" customHeight="1">
      <c r="F116" s="37"/>
    </row>
    <row r="117" ht="15.75" customHeight="1">
      <c r="F117" s="37"/>
    </row>
    <row r="118" ht="15.75" customHeight="1">
      <c r="F118" s="37"/>
    </row>
    <row r="119" ht="15.75" customHeight="1">
      <c r="F119" s="37"/>
    </row>
    <row r="120" ht="15.75" customHeight="1">
      <c r="F120" s="37"/>
    </row>
    <row r="121" ht="15.75" customHeight="1">
      <c r="F121" s="37"/>
    </row>
    <row r="122" ht="15.75" customHeight="1">
      <c r="F122" s="37"/>
    </row>
    <row r="123" ht="15.75" customHeight="1">
      <c r="F123" s="37"/>
    </row>
    <row r="124" ht="15.75" customHeight="1">
      <c r="F124" s="37"/>
    </row>
    <row r="125" ht="15.75" customHeight="1">
      <c r="F125" s="37"/>
    </row>
    <row r="126" ht="15.75" customHeight="1">
      <c r="F126" s="37"/>
    </row>
    <row r="127" ht="15.75" customHeight="1">
      <c r="F127" s="37"/>
    </row>
    <row r="128" ht="15.75" customHeight="1">
      <c r="F128" s="37"/>
    </row>
    <row r="129" ht="15.75" customHeight="1">
      <c r="F129" s="37"/>
    </row>
    <row r="130" ht="15.75" customHeight="1">
      <c r="F130" s="37"/>
    </row>
    <row r="131" ht="15.75" customHeight="1">
      <c r="F131" s="37"/>
    </row>
    <row r="132" ht="15.75" customHeight="1">
      <c r="F132" s="37"/>
    </row>
    <row r="133" ht="15.75" customHeight="1">
      <c r="F133" s="37"/>
    </row>
    <row r="134" ht="15.75" customHeight="1">
      <c r="F134" s="37"/>
    </row>
    <row r="135" ht="15.75" customHeight="1">
      <c r="F135" s="37"/>
    </row>
    <row r="136" ht="15.75" customHeight="1">
      <c r="F136" s="37"/>
    </row>
    <row r="137" ht="15.75" customHeight="1">
      <c r="F137" s="37"/>
    </row>
    <row r="138" ht="15.75" customHeight="1">
      <c r="F138" s="37"/>
    </row>
    <row r="139" ht="15.75" customHeight="1">
      <c r="F139" s="37"/>
    </row>
    <row r="140" ht="15.75" customHeight="1">
      <c r="F140" s="37"/>
    </row>
    <row r="141" ht="15.75" customHeight="1">
      <c r="F141" s="37"/>
    </row>
    <row r="142" ht="15.75" customHeight="1">
      <c r="F142" s="37"/>
    </row>
    <row r="143" ht="15.75" customHeight="1">
      <c r="F143" s="37"/>
    </row>
    <row r="144" ht="15.75" customHeight="1">
      <c r="F144" s="37"/>
    </row>
    <row r="145" ht="15.75" customHeight="1">
      <c r="F145" s="37"/>
    </row>
    <row r="146" ht="15.75" customHeight="1">
      <c r="F146" s="37"/>
    </row>
    <row r="147" ht="15.75" customHeight="1">
      <c r="F147" s="37"/>
    </row>
    <row r="148" ht="15.75" customHeight="1">
      <c r="F148" s="37"/>
    </row>
    <row r="149" ht="15.75" customHeight="1">
      <c r="F149" s="37"/>
    </row>
    <row r="150" ht="15.75" customHeight="1">
      <c r="F150" s="37"/>
    </row>
    <row r="151" ht="15.75" customHeight="1">
      <c r="F151" s="37"/>
    </row>
    <row r="152" ht="15.75" customHeight="1">
      <c r="F152" s="37"/>
    </row>
    <row r="153" ht="15.75" customHeight="1">
      <c r="F153" s="37"/>
    </row>
    <row r="154" ht="15.75" customHeight="1">
      <c r="F154" s="37"/>
    </row>
    <row r="155" ht="15.75" customHeight="1">
      <c r="F155" s="37"/>
    </row>
    <row r="156" ht="15.75" customHeight="1">
      <c r="F156" s="37"/>
    </row>
    <row r="157" ht="15.75" customHeight="1">
      <c r="F157" s="37"/>
    </row>
    <row r="158" ht="15.75" customHeight="1">
      <c r="F158" s="37"/>
    </row>
    <row r="159" ht="15.75" customHeight="1">
      <c r="F159" s="37"/>
    </row>
    <row r="160" ht="15.75" customHeight="1">
      <c r="F160" s="37"/>
    </row>
    <row r="161" ht="15.75" customHeight="1">
      <c r="F161" s="37"/>
    </row>
    <row r="162" ht="15.75" customHeight="1">
      <c r="F162" s="37"/>
    </row>
    <row r="163" ht="15.75" customHeight="1">
      <c r="F163" s="37"/>
    </row>
    <row r="164" ht="15.75" customHeight="1">
      <c r="F164" s="37"/>
    </row>
    <row r="165" ht="15.75" customHeight="1">
      <c r="F165" s="37"/>
    </row>
    <row r="166" ht="15.75" customHeight="1">
      <c r="F166" s="37"/>
    </row>
    <row r="167" ht="15.75" customHeight="1">
      <c r="F167" s="37"/>
    </row>
    <row r="168" ht="15.75" customHeight="1">
      <c r="F168" s="37"/>
    </row>
    <row r="169" ht="15.75" customHeight="1">
      <c r="F169" s="37"/>
    </row>
    <row r="170" ht="15.75" customHeight="1">
      <c r="F170" s="37"/>
    </row>
    <row r="171" ht="15.75" customHeight="1">
      <c r="F171" s="37"/>
    </row>
    <row r="172" ht="15.75" customHeight="1">
      <c r="F172" s="37"/>
    </row>
    <row r="173" ht="15.75" customHeight="1">
      <c r="F173" s="37"/>
    </row>
    <row r="174" ht="15.75" customHeight="1">
      <c r="F174" s="37"/>
    </row>
    <row r="175" ht="15.75" customHeight="1">
      <c r="F175" s="37"/>
    </row>
    <row r="176" ht="15.75" customHeight="1">
      <c r="F176" s="37"/>
    </row>
    <row r="177" ht="15.75" customHeight="1">
      <c r="F177" s="37"/>
    </row>
    <row r="178" ht="15.75" customHeight="1">
      <c r="F178" s="37"/>
    </row>
    <row r="179" ht="15.75" customHeight="1">
      <c r="F179" s="37"/>
    </row>
    <row r="180" ht="15.75" customHeight="1">
      <c r="F180" s="37"/>
    </row>
    <row r="181" ht="15.75" customHeight="1">
      <c r="F181" s="37"/>
    </row>
    <row r="182" ht="15.75" customHeight="1">
      <c r="F182" s="37"/>
    </row>
    <row r="183" ht="15.75" customHeight="1">
      <c r="F183" s="37"/>
    </row>
    <row r="184" ht="15.75" customHeight="1">
      <c r="F184" s="37"/>
    </row>
    <row r="185" ht="15.75" customHeight="1">
      <c r="F185" s="37"/>
    </row>
    <row r="186" ht="15.75" customHeight="1">
      <c r="F186" s="37"/>
    </row>
    <row r="187" ht="15.75" customHeight="1">
      <c r="F187" s="37"/>
    </row>
    <row r="188" ht="15.75" customHeight="1">
      <c r="F188" s="37"/>
    </row>
    <row r="189" ht="15.75" customHeight="1">
      <c r="F189" s="37"/>
    </row>
    <row r="190" ht="15.75" customHeight="1">
      <c r="F190" s="37"/>
    </row>
    <row r="191" ht="15.75" customHeight="1">
      <c r="F191" s="37"/>
    </row>
    <row r="192" ht="15.75" customHeight="1">
      <c r="F192" s="37"/>
    </row>
    <row r="193" ht="15.75" customHeight="1">
      <c r="F193" s="37"/>
    </row>
    <row r="194" ht="15.75" customHeight="1">
      <c r="F194" s="37"/>
    </row>
    <row r="195" ht="15.75" customHeight="1">
      <c r="F195" s="37"/>
    </row>
    <row r="196" ht="15.75" customHeight="1">
      <c r="F196" s="37"/>
    </row>
    <row r="197" ht="15.75" customHeight="1">
      <c r="F197" s="37"/>
    </row>
    <row r="198" ht="15.75" customHeight="1">
      <c r="F198" s="37"/>
    </row>
    <row r="199" ht="15.75" customHeight="1">
      <c r="F199" s="37"/>
    </row>
    <row r="200" ht="15.75" customHeight="1">
      <c r="F200" s="37"/>
    </row>
    <row r="201" ht="15.75" customHeight="1">
      <c r="F201" s="37"/>
    </row>
    <row r="202" ht="15.75" customHeight="1">
      <c r="F202" s="37"/>
    </row>
    <row r="203" ht="15.75" customHeight="1">
      <c r="F203" s="37"/>
    </row>
    <row r="204" ht="15.75" customHeight="1">
      <c r="F204" s="37"/>
    </row>
    <row r="205" ht="15.75" customHeight="1">
      <c r="F205" s="37"/>
    </row>
    <row r="206" ht="15.75" customHeight="1">
      <c r="F206" s="37"/>
    </row>
    <row r="207" ht="15.75" customHeight="1">
      <c r="F207" s="37"/>
    </row>
    <row r="208" ht="15.75" customHeight="1">
      <c r="F208" s="37"/>
    </row>
    <row r="209" ht="15.75" customHeight="1">
      <c r="F209" s="37"/>
    </row>
    <row r="210" ht="15.75" customHeight="1">
      <c r="F210" s="37"/>
    </row>
    <row r="211" ht="15.75" customHeight="1">
      <c r="F211" s="37"/>
    </row>
    <row r="212" ht="15.75" customHeight="1">
      <c r="F212" s="37"/>
    </row>
    <row r="213" ht="15.75" customHeight="1">
      <c r="F213" s="37"/>
    </row>
    <row r="214" ht="15.75" customHeight="1">
      <c r="F214" s="37"/>
    </row>
    <row r="215" ht="15.75" customHeight="1">
      <c r="F215" s="37"/>
    </row>
    <row r="216" ht="15.75" customHeight="1">
      <c r="F216" s="37"/>
    </row>
    <row r="217" ht="15.75" customHeight="1">
      <c r="F217" s="37"/>
    </row>
    <row r="218" ht="15.75" customHeight="1">
      <c r="F218" s="37"/>
    </row>
    <row r="219" ht="15.75" customHeight="1">
      <c r="F219" s="37"/>
    </row>
    <row r="220" ht="15.75" customHeight="1">
      <c r="F220" s="37"/>
    </row>
    <row r="221" ht="15.75" customHeight="1">
      <c r="F221" s="37"/>
    </row>
    <row r="222" ht="15.75" customHeight="1">
      <c r="F222" s="37"/>
    </row>
    <row r="223" ht="15.75" customHeight="1">
      <c r="F223" s="37"/>
    </row>
    <row r="224" ht="15.75" customHeight="1">
      <c r="F224" s="37"/>
    </row>
    <row r="225" ht="15.75" customHeight="1">
      <c r="F225" s="37"/>
    </row>
    <row r="226" ht="15.75" customHeight="1">
      <c r="F226" s="37"/>
    </row>
    <row r="227" ht="15.75" customHeight="1">
      <c r="F227" s="37"/>
    </row>
    <row r="228" ht="15.75" customHeight="1">
      <c r="F228" s="37"/>
    </row>
    <row r="229" ht="15.75" customHeight="1">
      <c r="F229" s="37"/>
    </row>
    <row r="230" ht="15.75" customHeight="1">
      <c r="F230" s="37"/>
    </row>
    <row r="231" ht="15.75" customHeight="1">
      <c r="F231" s="37"/>
    </row>
    <row r="232" ht="15.75" customHeight="1">
      <c r="F232" s="37"/>
    </row>
    <row r="233" ht="15.75" customHeight="1">
      <c r="F233" s="37"/>
    </row>
    <row r="234" ht="15.75" customHeight="1">
      <c r="F234" s="37"/>
    </row>
    <row r="235" ht="15.75" customHeight="1">
      <c r="F235" s="37"/>
    </row>
    <row r="236" ht="15.75" customHeight="1">
      <c r="F236" s="37"/>
    </row>
    <row r="237" ht="15.75" customHeight="1">
      <c r="F237" s="37"/>
    </row>
    <row r="238" ht="15.75" customHeight="1">
      <c r="F238" s="37"/>
    </row>
    <row r="239" ht="15.75" customHeight="1">
      <c r="F239" s="37"/>
    </row>
    <row r="240" ht="15.75" customHeight="1">
      <c r="F240" s="37"/>
    </row>
    <row r="241" ht="15.75" customHeight="1">
      <c r="F241" s="37"/>
    </row>
    <row r="242" ht="15.75" customHeight="1">
      <c r="F242" s="37"/>
    </row>
    <row r="243" ht="15.75" customHeight="1">
      <c r="F243" s="37"/>
    </row>
    <row r="244" ht="15.75" customHeight="1">
      <c r="F244" s="37"/>
    </row>
    <row r="245" ht="15.75" customHeight="1">
      <c r="F245" s="37"/>
    </row>
    <row r="246" ht="15.75" customHeight="1">
      <c r="F246" s="37"/>
    </row>
    <row r="247" ht="15.75" customHeight="1">
      <c r="F247" s="37"/>
    </row>
    <row r="248" ht="15.75" customHeight="1">
      <c r="F248" s="37"/>
    </row>
    <row r="249" ht="15.75" customHeight="1">
      <c r="F249" s="37"/>
    </row>
    <row r="250" ht="15.75" customHeight="1">
      <c r="F250" s="37"/>
    </row>
    <row r="251" ht="15.75" customHeight="1">
      <c r="F251" s="37"/>
    </row>
    <row r="252" ht="15.75" customHeight="1">
      <c r="F252" s="37"/>
    </row>
    <row r="253" ht="15.75" customHeight="1">
      <c r="F253" s="37"/>
    </row>
    <row r="254" ht="15.75" customHeight="1">
      <c r="F254" s="37"/>
    </row>
    <row r="255" ht="15.75" customHeight="1">
      <c r="F255" s="37"/>
    </row>
    <row r="256" ht="15.75" customHeight="1">
      <c r="F256" s="37"/>
    </row>
    <row r="257" ht="15.75" customHeight="1">
      <c r="F257" s="37"/>
    </row>
    <row r="258" ht="15.75" customHeight="1">
      <c r="F258" s="37"/>
    </row>
    <row r="259" ht="15.75" customHeight="1">
      <c r="F259" s="37"/>
    </row>
    <row r="260" ht="15.75" customHeight="1">
      <c r="F260" s="37"/>
    </row>
    <row r="261" ht="15.75" customHeight="1">
      <c r="F261" s="37"/>
    </row>
    <row r="262" ht="15.75" customHeight="1">
      <c r="F262" s="37"/>
    </row>
    <row r="263" ht="15.75" customHeight="1">
      <c r="F263" s="37"/>
    </row>
    <row r="264" ht="15.75" customHeight="1">
      <c r="F264" s="37"/>
    </row>
    <row r="265" ht="15.75" customHeight="1">
      <c r="F265" s="37"/>
    </row>
    <row r="266" ht="15.75" customHeight="1">
      <c r="F266" s="37"/>
    </row>
    <row r="267" ht="15.75" customHeight="1">
      <c r="F267" s="37"/>
    </row>
    <row r="268" ht="15.75" customHeight="1">
      <c r="F268" s="37"/>
    </row>
    <row r="269" ht="15.75" customHeight="1">
      <c r="F269" s="37"/>
    </row>
    <row r="270" ht="15.75" customHeight="1">
      <c r="F270" s="37"/>
    </row>
    <row r="271" ht="15.75" customHeight="1">
      <c r="F271" s="37"/>
    </row>
    <row r="272" ht="15.75" customHeight="1">
      <c r="F272" s="37"/>
    </row>
    <row r="273" ht="15.75" customHeight="1">
      <c r="F273" s="37"/>
    </row>
    <row r="274" ht="15.75" customHeight="1">
      <c r="F274" s="37"/>
    </row>
    <row r="275" ht="15.75" customHeight="1">
      <c r="F275" s="37"/>
    </row>
    <row r="276" ht="15.75" customHeight="1">
      <c r="F276" s="37"/>
    </row>
    <row r="277" ht="15.75" customHeight="1">
      <c r="F277" s="37"/>
    </row>
    <row r="278" ht="15.75" customHeight="1">
      <c r="F278" s="37"/>
    </row>
    <row r="279" ht="15.75" customHeight="1">
      <c r="F279" s="37"/>
    </row>
    <row r="280" ht="15.75" customHeight="1">
      <c r="F280" s="37"/>
    </row>
    <row r="281" ht="15.75" customHeight="1">
      <c r="F281" s="37"/>
    </row>
    <row r="282" ht="15.75" customHeight="1">
      <c r="F282" s="37"/>
    </row>
    <row r="283" ht="15.75" customHeight="1">
      <c r="F283" s="37"/>
    </row>
    <row r="284" ht="15.75" customHeight="1">
      <c r="F284" s="37"/>
    </row>
    <row r="285" ht="15.75" customHeight="1">
      <c r="F285" s="37"/>
    </row>
    <row r="286" ht="15.75" customHeight="1">
      <c r="F286" s="37"/>
    </row>
    <row r="287" ht="15.75" customHeight="1">
      <c r="F287" s="37"/>
    </row>
    <row r="288" ht="15.75" customHeight="1">
      <c r="F288" s="37"/>
    </row>
    <row r="289" ht="15.75" customHeight="1">
      <c r="F289" s="37"/>
    </row>
    <row r="290" ht="15.75" customHeight="1">
      <c r="F290" s="37"/>
    </row>
    <row r="291" ht="15.75" customHeight="1">
      <c r="F291" s="37"/>
    </row>
    <row r="292" ht="15.75" customHeight="1">
      <c r="F292" s="37"/>
    </row>
    <row r="293" ht="15.75" customHeight="1">
      <c r="F293" s="37"/>
    </row>
    <row r="294" ht="15.75" customHeight="1">
      <c r="F294" s="37"/>
    </row>
    <row r="295" ht="15.75" customHeight="1">
      <c r="F295" s="37"/>
    </row>
    <row r="296" ht="15.75" customHeight="1">
      <c r="F296" s="37"/>
    </row>
    <row r="297" ht="15.75" customHeight="1">
      <c r="F297" s="37"/>
    </row>
    <row r="298" ht="15.75" customHeight="1">
      <c r="F298" s="37"/>
    </row>
    <row r="299" ht="15.75" customHeight="1">
      <c r="F299" s="37"/>
    </row>
    <row r="300" ht="15.75" customHeight="1">
      <c r="F300" s="37"/>
    </row>
    <row r="301" ht="15.75" customHeight="1">
      <c r="F301" s="37"/>
    </row>
    <row r="302" ht="15.75" customHeight="1">
      <c r="F302" s="37"/>
    </row>
    <row r="303" ht="15.75" customHeight="1">
      <c r="F303" s="37"/>
    </row>
    <row r="304" ht="15.75" customHeight="1">
      <c r="F304" s="37"/>
    </row>
    <row r="305" ht="15.75" customHeight="1">
      <c r="F305" s="37"/>
    </row>
    <row r="306" ht="15.75" customHeight="1">
      <c r="F306" s="37"/>
    </row>
    <row r="307" ht="15.75" customHeight="1">
      <c r="F307" s="37"/>
    </row>
    <row r="308" ht="15.75" customHeight="1">
      <c r="F308" s="37"/>
    </row>
    <row r="309" ht="15.75" customHeight="1">
      <c r="F309" s="37"/>
    </row>
    <row r="310" ht="15.75" customHeight="1">
      <c r="F310" s="37"/>
    </row>
    <row r="311" ht="15.75" customHeight="1">
      <c r="F311" s="37"/>
    </row>
    <row r="312" ht="15.75" customHeight="1">
      <c r="F312" s="37"/>
    </row>
    <row r="313" ht="15.75" customHeight="1">
      <c r="F313" s="37"/>
    </row>
    <row r="314" ht="15.75" customHeight="1">
      <c r="F314" s="37"/>
    </row>
    <row r="315" ht="15.75" customHeight="1">
      <c r="F315" s="37"/>
    </row>
    <row r="316" ht="15.75" customHeight="1">
      <c r="F316" s="37"/>
    </row>
    <row r="317" ht="15.75" customHeight="1">
      <c r="F317" s="37"/>
    </row>
    <row r="318" ht="15.75" customHeight="1">
      <c r="F318" s="37"/>
    </row>
    <row r="319" ht="15.75" customHeight="1">
      <c r="F319" s="37"/>
    </row>
    <row r="320" ht="15.75" customHeight="1">
      <c r="F320" s="37"/>
    </row>
    <row r="321" ht="15.75" customHeight="1">
      <c r="F321" s="37"/>
    </row>
    <row r="322" ht="15.75" customHeight="1">
      <c r="F322" s="37"/>
    </row>
    <row r="323" ht="15.75" customHeight="1">
      <c r="F323" s="37"/>
    </row>
    <row r="324" ht="15.75" customHeight="1">
      <c r="F324" s="37"/>
    </row>
    <row r="325" ht="15.75" customHeight="1">
      <c r="F325" s="37"/>
    </row>
    <row r="326" ht="15.75" customHeight="1">
      <c r="F326" s="37"/>
    </row>
    <row r="327" ht="15.75" customHeight="1">
      <c r="F327" s="37"/>
    </row>
    <row r="328" ht="15.75" customHeight="1">
      <c r="F328" s="37"/>
    </row>
    <row r="329" ht="15.75" customHeight="1">
      <c r="F329" s="37"/>
    </row>
    <row r="330" ht="15.75" customHeight="1">
      <c r="F330" s="37"/>
    </row>
    <row r="331" ht="15.75" customHeight="1">
      <c r="F331" s="37"/>
    </row>
    <row r="332" ht="15.75" customHeight="1">
      <c r="F332" s="37"/>
    </row>
    <row r="333" ht="15.75" customHeight="1">
      <c r="F333" s="37"/>
    </row>
    <row r="334" ht="15.75" customHeight="1">
      <c r="F334" s="37"/>
    </row>
    <row r="335" ht="15.75" customHeight="1">
      <c r="F335" s="37"/>
    </row>
    <row r="336" ht="15.75" customHeight="1">
      <c r="F336" s="37"/>
    </row>
    <row r="337" ht="15.75" customHeight="1">
      <c r="F337" s="37"/>
    </row>
    <row r="338" ht="15.75" customHeight="1">
      <c r="F338" s="37"/>
    </row>
    <row r="339" ht="15.75" customHeight="1">
      <c r="F339" s="37"/>
    </row>
    <row r="340" ht="15.75" customHeight="1">
      <c r="F340" s="37"/>
    </row>
    <row r="341" ht="15.75" customHeight="1">
      <c r="F341" s="37"/>
    </row>
    <row r="342" ht="15.75" customHeight="1">
      <c r="F342" s="37"/>
    </row>
    <row r="343" ht="15.75" customHeight="1">
      <c r="F343" s="37"/>
    </row>
    <row r="344" ht="15.75" customHeight="1">
      <c r="F344" s="37"/>
    </row>
    <row r="345" ht="15.75" customHeight="1">
      <c r="F345" s="37"/>
    </row>
    <row r="346" ht="15.75" customHeight="1">
      <c r="F346" s="37"/>
    </row>
    <row r="347" ht="15.75" customHeight="1">
      <c r="F347" s="37"/>
    </row>
    <row r="348" ht="15.75" customHeight="1">
      <c r="F348" s="37"/>
    </row>
    <row r="349" ht="15.75" customHeight="1">
      <c r="F349" s="37"/>
    </row>
    <row r="350" ht="15.75" customHeight="1">
      <c r="F350" s="37"/>
    </row>
    <row r="351" ht="15.75" customHeight="1">
      <c r="F351" s="37"/>
    </row>
    <row r="352" ht="15.75" customHeight="1">
      <c r="F352" s="37"/>
    </row>
    <row r="353" ht="15.75" customHeight="1">
      <c r="F353" s="37"/>
    </row>
    <row r="354" ht="15.75" customHeight="1">
      <c r="F354" s="37"/>
    </row>
    <row r="355" ht="15.75" customHeight="1">
      <c r="F355" s="37"/>
    </row>
    <row r="356" ht="15.75" customHeight="1">
      <c r="F356" s="37"/>
    </row>
    <row r="357" ht="15.75" customHeight="1">
      <c r="F357" s="37"/>
    </row>
    <row r="358" ht="15.75" customHeight="1">
      <c r="F358" s="37"/>
    </row>
    <row r="359" ht="15.75" customHeight="1">
      <c r="F359" s="37"/>
    </row>
    <row r="360" ht="15.75" customHeight="1">
      <c r="F360" s="37"/>
    </row>
    <row r="361" ht="15.75" customHeight="1">
      <c r="F361" s="37"/>
    </row>
    <row r="362" ht="15.75" customHeight="1">
      <c r="F362" s="37"/>
    </row>
    <row r="363" ht="15.75" customHeight="1">
      <c r="F363" s="37"/>
    </row>
    <row r="364" ht="15.75" customHeight="1">
      <c r="F364" s="37"/>
    </row>
    <row r="365" ht="15.75" customHeight="1">
      <c r="F365" s="37"/>
    </row>
    <row r="366" ht="15.75" customHeight="1">
      <c r="F366" s="37"/>
    </row>
    <row r="367" ht="15.75" customHeight="1">
      <c r="F367" s="37"/>
    </row>
    <row r="368" ht="15.75" customHeight="1">
      <c r="F368" s="37"/>
    </row>
    <row r="369" ht="15.75" customHeight="1">
      <c r="F369" s="37"/>
    </row>
    <row r="370" ht="15.75" customHeight="1">
      <c r="F370" s="37"/>
    </row>
    <row r="371" ht="15.75" customHeight="1">
      <c r="F371" s="37"/>
    </row>
    <row r="372" ht="15.75" customHeight="1">
      <c r="F372" s="37"/>
    </row>
    <row r="373" ht="15.75" customHeight="1">
      <c r="F373" s="37"/>
    </row>
    <row r="374" ht="15.75" customHeight="1">
      <c r="F374" s="37"/>
    </row>
    <row r="375" ht="15.75" customHeight="1">
      <c r="F375" s="37"/>
    </row>
    <row r="376" ht="15.75" customHeight="1">
      <c r="F376" s="37"/>
    </row>
    <row r="377" ht="15.75" customHeight="1">
      <c r="F377" s="37"/>
    </row>
    <row r="378" ht="15.75" customHeight="1">
      <c r="F378" s="37"/>
    </row>
    <row r="379" ht="15.75" customHeight="1">
      <c r="F379" s="37"/>
    </row>
    <row r="380" ht="15.75" customHeight="1">
      <c r="F380" s="37"/>
    </row>
    <row r="381" ht="15.75" customHeight="1">
      <c r="F381" s="37"/>
    </row>
    <row r="382" ht="15.75" customHeight="1">
      <c r="F382" s="37"/>
    </row>
    <row r="383" ht="15.75" customHeight="1">
      <c r="F383" s="37"/>
    </row>
    <row r="384" ht="15.75" customHeight="1">
      <c r="F384" s="37"/>
    </row>
    <row r="385" ht="15.75" customHeight="1">
      <c r="F385" s="37"/>
    </row>
    <row r="386" ht="15.75" customHeight="1">
      <c r="F386" s="37"/>
    </row>
    <row r="387" ht="15.75" customHeight="1">
      <c r="F387" s="37"/>
    </row>
    <row r="388" ht="15.75" customHeight="1">
      <c r="F388" s="37"/>
    </row>
    <row r="389" ht="15.75" customHeight="1">
      <c r="F389" s="37"/>
    </row>
    <row r="390" ht="15.75" customHeight="1">
      <c r="F390" s="37"/>
    </row>
    <row r="391" ht="15.75" customHeight="1">
      <c r="F391" s="37"/>
    </row>
    <row r="392" ht="15.75" customHeight="1">
      <c r="F392" s="37"/>
    </row>
    <row r="393" ht="15.75" customHeight="1">
      <c r="F393" s="37"/>
    </row>
    <row r="394" ht="15.75" customHeight="1">
      <c r="F394" s="37"/>
    </row>
    <row r="395" ht="15.75" customHeight="1">
      <c r="F395" s="37"/>
    </row>
    <row r="396" ht="15.75" customHeight="1">
      <c r="F396" s="37"/>
    </row>
    <row r="397" ht="15.75" customHeight="1">
      <c r="F397" s="37"/>
    </row>
    <row r="398" ht="15.75" customHeight="1">
      <c r="F398" s="37"/>
    </row>
    <row r="399" ht="15.75" customHeight="1">
      <c r="F399" s="37"/>
    </row>
    <row r="400" ht="15.75" customHeight="1">
      <c r="F400" s="37"/>
    </row>
    <row r="401" ht="15.75" customHeight="1">
      <c r="F401" s="37"/>
    </row>
    <row r="402" ht="15.75" customHeight="1">
      <c r="F402" s="37"/>
    </row>
    <row r="403" ht="15.75" customHeight="1">
      <c r="F403" s="37"/>
    </row>
    <row r="404" ht="15.75" customHeight="1">
      <c r="F404" s="37"/>
    </row>
    <row r="405" ht="15.75" customHeight="1">
      <c r="F405" s="37"/>
    </row>
    <row r="406" ht="15.75" customHeight="1">
      <c r="F406" s="37"/>
    </row>
    <row r="407" ht="15.75" customHeight="1">
      <c r="F407" s="37"/>
    </row>
    <row r="408" ht="15.75" customHeight="1">
      <c r="F408" s="37"/>
    </row>
    <row r="409" ht="15.75" customHeight="1">
      <c r="F409" s="37"/>
    </row>
    <row r="410" ht="15.75" customHeight="1">
      <c r="F410" s="37"/>
    </row>
    <row r="411" ht="15.75" customHeight="1">
      <c r="F411" s="37"/>
    </row>
    <row r="412" ht="15.75" customHeight="1">
      <c r="F412" s="37"/>
    </row>
    <row r="413" ht="15.75" customHeight="1">
      <c r="F413" s="37"/>
    </row>
    <row r="414" ht="15.75" customHeight="1">
      <c r="F414" s="37"/>
    </row>
    <row r="415" ht="15.75" customHeight="1">
      <c r="F415" s="37"/>
    </row>
    <row r="416" ht="15.75" customHeight="1">
      <c r="F416" s="37"/>
    </row>
    <row r="417" ht="15.75" customHeight="1">
      <c r="F417" s="37"/>
    </row>
    <row r="418" ht="15.75" customHeight="1">
      <c r="F418" s="37"/>
    </row>
    <row r="419" ht="15.75" customHeight="1">
      <c r="F419" s="37"/>
    </row>
    <row r="420" ht="15.75" customHeight="1">
      <c r="F420" s="37"/>
    </row>
    <row r="421" ht="15.75" customHeight="1">
      <c r="F421" s="37"/>
    </row>
    <row r="422" ht="15.75" customHeight="1">
      <c r="F422" s="37"/>
    </row>
    <row r="423" ht="15.75" customHeight="1">
      <c r="F423" s="37"/>
    </row>
    <row r="424" ht="15.75" customHeight="1">
      <c r="F424" s="37"/>
    </row>
    <row r="425" ht="15.75" customHeight="1">
      <c r="F425" s="37"/>
    </row>
    <row r="426" ht="15.75" customHeight="1">
      <c r="F426" s="37"/>
    </row>
    <row r="427" ht="15.75" customHeight="1">
      <c r="F427" s="37"/>
    </row>
    <row r="428" ht="15.75" customHeight="1">
      <c r="F428" s="37"/>
    </row>
    <row r="429" ht="15.75" customHeight="1">
      <c r="F429" s="37"/>
    </row>
    <row r="430" ht="15.75" customHeight="1">
      <c r="F430" s="37"/>
    </row>
    <row r="431" ht="15.75" customHeight="1">
      <c r="F431" s="37"/>
    </row>
    <row r="432" ht="15.75" customHeight="1">
      <c r="F432" s="37"/>
    </row>
    <row r="433" ht="15.75" customHeight="1">
      <c r="F433" s="37"/>
    </row>
    <row r="434" ht="15.75" customHeight="1">
      <c r="F434" s="37"/>
    </row>
    <row r="435" ht="15.75" customHeight="1">
      <c r="F435" s="37"/>
    </row>
    <row r="436" ht="15.75" customHeight="1">
      <c r="F436" s="37"/>
    </row>
    <row r="437" ht="15.75" customHeight="1">
      <c r="F437" s="37"/>
    </row>
    <row r="438" ht="15.75" customHeight="1">
      <c r="F438" s="37"/>
    </row>
    <row r="439" ht="15.75" customHeight="1">
      <c r="F439" s="37"/>
    </row>
    <row r="440" ht="15.75" customHeight="1">
      <c r="F440" s="37"/>
    </row>
    <row r="441" ht="15.75" customHeight="1">
      <c r="F441" s="37"/>
    </row>
    <row r="442" ht="15.75" customHeight="1">
      <c r="F442" s="37"/>
    </row>
    <row r="443" ht="15.75" customHeight="1">
      <c r="F443" s="37"/>
    </row>
    <row r="444" ht="15.75" customHeight="1">
      <c r="F444" s="37"/>
    </row>
    <row r="445" ht="15.75" customHeight="1">
      <c r="F445" s="37"/>
    </row>
    <row r="446" ht="15.75" customHeight="1">
      <c r="F446" s="37"/>
    </row>
    <row r="447" ht="15.75" customHeight="1">
      <c r="F447" s="37"/>
    </row>
    <row r="448" ht="15.75" customHeight="1">
      <c r="F448" s="37"/>
    </row>
    <row r="449" ht="15.75" customHeight="1">
      <c r="F449" s="37"/>
    </row>
    <row r="450" ht="15.75" customHeight="1">
      <c r="F450" s="37"/>
    </row>
    <row r="451" ht="15.75" customHeight="1">
      <c r="F451" s="37"/>
    </row>
    <row r="452" ht="15.75" customHeight="1">
      <c r="F452" s="37"/>
    </row>
    <row r="453" ht="15.75" customHeight="1">
      <c r="F453" s="37"/>
    </row>
    <row r="454" ht="15.75" customHeight="1">
      <c r="F454" s="37"/>
    </row>
    <row r="455" ht="15.75" customHeight="1">
      <c r="F455" s="37"/>
    </row>
    <row r="456" ht="15.75" customHeight="1">
      <c r="F456" s="37"/>
    </row>
    <row r="457" ht="15.75" customHeight="1">
      <c r="F457" s="37"/>
    </row>
    <row r="458" ht="15.75" customHeight="1">
      <c r="F458" s="37"/>
    </row>
    <row r="459" ht="15.75" customHeight="1">
      <c r="F459" s="37"/>
    </row>
    <row r="460" ht="15.75" customHeight="1">
      <c r="F460" s="37"/>
    </row>
    <row r="461" ht="15.75" customHeight="1">
      <c r="F461" s="37"/>
    </row>
    <row r="462" ht="15.75" customHeight="1">
      <c r="F462" s="37"/>
    </row>
    <row r="463" ht="15.75" customHeight="1">
      <c r="F463" s="37"/>
    </row>
    <row r="464" ht="15.75" customHeight="1">
      <c r="F464" s="37"/>
    </row>
    <row r="465" ht="15.75" customHeight="1">
      <c r="F465" s="37"/>
    </row>
    <row r="466" ht="15.75" customHeight="1">
      <c r="F466" s="37"/>
    </row>
    <row r="467" ht="15.75" customHeight="1">
      <c r="F467" s="37"/>
    </row>
    <row r="468" ht="15.75" customHeight="1">
      <c r="F468" s="37"/>
    </row>
    <row r="469" ht="15.75" customHeight="1">
      <c r="F469" s="37"/>
    </row>
    <row r="470" ht="15.75" customHeight="1">
      <c r="F470" s="37"/>
    </row>
    <row r="471" ht="15.75" customHeight="1">
      <c r="F471" s="37"/>
    </row>
    <row r="472" ht="15.75" customHeight="1">
      <c r="F472" s="37"/>
    </row>
    <row r="473" ht="15.75" customHeight="1">
      <c r="F473" s="37"/>
    </row>
    <row r="474" ht="15.75" customHeight="1">
      <c r="F474" s="37"/>
    </row>
    <row r="475" ht="15.75" customHeight="1">
      <c r="F475" s="37"/>
    </row>
    <row r="476" ht="15.75" customHeight="1">
      <c r="F476" s="37"/>
    </row>
    <row r="477" ht="15.75" customHeight="1">
      <c r="F477" s="37"/>
    </row>
    <row r="478" ht="15.75" customHeight="1">
      <c r="F478" s="37"/>
    </row>
    <row r="479" ht="15.75" customHeight="1">
      <c r="F479" s="37"/>
    </row>
    <row r="480" ht="15.75" customHeight="1">
      <c r="F480" s="37"/>
    </row>
    <row r="481" ht="15.75" customHeight="1">
      <c r="F481" s="37"/>
    </row>
    <row r="482" ht="15.75" customHeight="1">
      <c r="F482" s="37"/>
    </row>
    <row r="483" ht="15.75" customHeight="1">
      <c r="F483" s="37"/>
    </row>
    <row r="484" ht="15.75" customHeight="1">
      <c r="F484" s="37"/>
    </row>
    <row r="485" ht="15.75" customHeight="1">
      <c r="F485" s="37"/>
    </row>
    <row r="486" ht="15.75" customHeight="1">
      <c r="F486" s="37"/>
    </row>
    <row r="487" ht="15.75" customHeight="1">
      <c r="F487" s="37"/>
    </row>
    <row r="488" ht="15.75" customHeight="1">
      <c r="F488" s="37"/>
    </row>
    <row r="489" ht="15.75" customHeight="1">
      <c r="F489" s="37"/>
    </row>
    <row r="490" ht="15.75" customHeight="1">
      <c r="F490" s="37"/>
    </row>
    <row r="491" ht="15.75" customHeight="1">
      <c r="F491" s="37"/>
    </row>
    <row r="492" ht="15.75" customHeight="1">
      <c r="F492" s="37"/>
    </row>
    <row r="493" ht="15.75" customHeight="1">
      <c r="F493" s="37"/>
    </row>
    <row r="494" ht="15.75" customHeight="1">
      <c r="F494" s="37"/>
    </row>
    <row r="495" ht="15.75" customHeight="1">
      <c r="F495" s="37"/>
    </row>
    <row r="496" ht="15.75" customHeight="1">
      <c r="F496" s="37"/>
    </row>
    <row r="497" ht="15.75" customHeight="1">
      <c r="F497" s="37"/>
    </row>
    <row r="498" ht="15.75" customHeight="1">
      <c r="F498" s="37"/>
    </row>
    <row r="499" ht="15.75" customHeight="1">
      <c r="F499" s="37"/>
    </row>
    <row r="500" ht="15.75" customHeight="1">
      <c r="F500" s="37"/>
    </row>
    <row r="501" ht="15.75" customHeight="1">
      <c r="F501" s="37"/>
    </row>
    <row r="502" ht="15.75" customHeight="1">
      <c r="F502" s="37"/>
    </row>
    <row r="503" ht="15.75" customHeight="1">
      <c r="F503" s="37"/>
    </row>
    <row r="504" ht="15.75" customHeight="1">
      <c r="F504" s="37"/>
    </row>
    <row r="505" ht="15.75" customHeight="1">
      <c r="F505" s="37"/>
    </row>
    <row r="506" ht="15.75" customHeight="1">
      <c r="F506" s="37"/>
    </row>
    <row r="507" ht="15.75" customHeight="1">
      <c r="F507" s="37"/>
    </row>
    <row r="508" ht="15.75" customHeight="1">
      <c r="F508" s="37"/>
    </row>
    <row r="509" ht="15.75" customHeight="1">
      <c r="F509" s="37"/>
    </row>
    <row r="510" ht="15.75" customHeight="1">
      <c r="F510" s="37"/>
    </row>
    <row r="511" ht="15.75" customHeight="1">
      <c r="F511" s="37"/>
    </row>
    <row r="512" ht="15.75" customHeight="1">
      <c r="F512" s="37"/>
    </row>
    <row r="513" ht="15.75" customHeight="1">
      <c r="F513" s="37"/>
    </row>
    <row r="514" ht="15.75" customHeight="1">
      <c r="F514" s="37"/>
    </row>
    <row r="515" ht="15.75" customHeight="1">
      <c r="F515" s="37"/>
    </row>
    <row r="516" ht="15.75" customHeight="1">
      <c r="F516" s="37"/>
    </row>
    <row r="517" ht="15.75" customHeight="1">
      <c r="F517" s="37"/>
    </row>
    <row r="518" ht="15.75" customHeight="1">
      <c r="F518" s="37"/>
    </row>
    <row r="519" ht="15.75" customHeight="1">
      <c r="F519" s="37"/>
    </row>
    <row r="520" ht="15.75" customHeight="1">
      <c r="F520" s="37"/>
    </row>
    <row r="521" ht="15.75" customHeight="1">
      <c r="F521" s="37"/>
    </row>
    <row r="522" ht="15.75" customHeight="1">
      <c r="F522" s="37"/>
    </row>
    <row r="523" ht="15.75" customHeight="1">
      <c r="F523" s="37"/>
    </row>
    <row r="524" ht="15.75" customHeight="1">
      <c r="F524" s="37"/>
    </row>
    <row r="525" ht="15.75" customHeight="1">
      <c r="F525" s="37"/>
    </row>
    <row r="526" ht="15.75" customHeight="1">
      <c r="F526" s="37"/>
    </row>
    <row r="527" ht="15.75" customHeight="1">
      <c r="F527" s="37"/>
    </row>
    <row r="528" ht="15.75" customHeight="1">
      <c r="F528" s="37"/>
    </row>
    <row r="529" ht="15.75" customHeight="1">
      <c r="F529" s="37"/>
    </row>
    <row r="530" ht="15.75" customHeight="1">
      <c r="F530" s="37"/>
    </row>
    <row r="531" ht="15.75" customHeight="1">
      <c r="F531" s="37"/>
    </row>
    <row r="532" ht="15.75" customHeight="1">
      <c r="F532" s="37"/>
    </row>
    <row r="533" ht="15.75" customHeight="1">
      <c r="F533" s="37"/>
    </row>
    <row r="534" ht="15.75" customHeight="1">
      <c r="F534" s="37"/>
    </row>
    <row r="535" ht="15.75" customHeight="1">
      <c r="F535" s="37"/>
    </row>
    <row r="536" ht="15.75" customHeight="1">
      <c r="F536" s="37"/>
    </row>
    <row r="537" ht="15.75" customHeight="1">
      <c r="F537" s="37"/>
    </row>
    <row r="538" ht="15.75" customHeight="1">
      <c r="F538" s="37"/>
    </row>
    <row r="539" ht="15.75" customHeight="1">
      <c r="F539" s="37"/>
    </row>
    <row r="540" ht="15.75" customHeight="1">
      <c r="F540" s="37"/>
    </row>
    <row r="541" ht="15.75" customHeight="1">
      <c r="F541" s="37"/>
    </row>
    <row r="542" ht="15.75" customHeight="1">
      <c r="F542" s="37"/>
    </row>
    <row r="543" ht="15.75" customHeight="1">
      <c r="F543" s="37"/>
    </row>
    <row r="544" ht="15.75" customHeight="1">
      <c r="F544" s="37"/>
    </row>
    <row r="545" ht="15.75" customHeight="1">
      <c r="F545" s="37"/>
    </row>
    <row r="546" ht="15.75" customHeight="1">
      <c r="F546" s="37"/>
    </row>
    <row r="547" ht="15.75" customHeight="1">
      <c r="F547" s="37"/>
    </row>
    <row r="548" ht="15.75" customHeight="1">
      <c r="F548" s="37"/>
    </row>
    <row r="549" ht="15.75" customHeight="1">
      <c r="F549" s="37"/>
    </row>
    <row r="550" ht="15.75" customHeight="1">
      <c r="F550" s="37"/>
    </row>
    <row r="551" ht="15.75" customHeight="1">
      <c r="F551" s="37"/>
    </row>
    <row r="552" ht="15.75" customHeight="1">
      <c r="F552" s="37"/>
    </row>
    <row r="553" ht="15.75" customHeight="1">
      <c r="F553" s="37"/>
    </row>
    <row r="554" ht="15.75" customHeight="1">
      <c r="F554" s="37"/>
    </row>
    <row r="555" ht="15.75" customHeight="1">
      <c r="F555" s="37"/>
    </row>
    <row r="556" ht="15.75" customHeight="1">
      <c r="F556" s="37"/>
    </row>
    <row r="557" ht="15.75" customHeight="1">
      <c r="F557" s="37"/>
    </row>
    <row r="558" ht="15.75" customHeight="1">
      <c r="F558" s="37"/>
    </row>
    <row r="559" ht="15.75" customHeight="1">
      <c r="F559" s="37"/>
    </row>
    <row r="560" ht="15.75" customHeight="1">
      <c r="F560" s="37"/>
    </row>
    <row r="561" ht="15.75" customHeight="1">
      <c r="F561" s="37"/>
    </row>
    <row r="562" ht="15.75" customHeight="1">
      <c r="F562" s="37"/>
    </row>
    <row r="563" ht="15.75" customHeight="1">
      <c r="F563" s="37"/>
    </row>
    <row r="564" ht="15.75" customHeight="1">
      <c r="F564" s="37"/>
    </row>
    <row r="565" ht="15.75" customHeight="1">
      <c r="F565" s="37"/>
    </row>
    <row r="566" ht="15.75" customHeight="1">
      <c r="F566" s="37"/>
    </row>
    <row r="567" ht="15.75" customHeight="1">
      <c r="F567" s="37"/>
    </row>
    <row r="568" ht="15.75" customHeight="1">
      <c r="F568" s="37"/>
    </row>
    <row r="569" ht="15.75" customHeight="1">
      <c r="F569" s="37"/>
    </row>
    <row r="570" ht="15.75" customHeight="1">
      <c r="F570" s="37"/>
    </row>
    <row r="571" ht="15.75" customHeight="1">
      <c r="F571" s="37"/>
    </row>
    <row r="572" ht="15.75" customHeight="1">
      <c r="F572" s="37"/>
    </row>
    <row r="573" ht="15.75" customHeight="1">
      <c r="F573" s="37"/>
    </row>
    <row r="574" ht="15.75" customHeight="1">
      <c r="F574" s="37"/>
    </row>
    <row r="575" ht="15.75" customHeight="1">
      <c r="F575" s="37"/>
    </row>
    <row r="576" ht="15.75" customHeight="1">
      <c r="F576" s="37"/>
    </row>
    <row r="577" ht="15.75" customHeight="1">
      <c r="F577" s="37"/>
    </row>
    <row r="578" ht="15.75" customHeight="1">
      <c r="F578" s="37"/>
    </row>
    <row r="579" ht="15.75" customHeight="1">
      <c r="F579" s="37"/>
    </row>
    <row r="580" ht="15.75" customHeight="1">
      <c r="F580" s="37"/>
    </row>
    <row r="581" ht="15.75" customHeight="1">
      <c r="F581" s="37"/>
    </row>
    <row r="582" ht="15.75" customHeight="1">
      <c r="F582" s="37"/>
    </row>
    <row r="583" ht="15.75" customHeight="1">
      <c r="F583" s="37"/>
    </row>
    <row r="584" ht="15.75" customHeight="1">
      <c r="F584" s="37"/>
    </row>
    <row r="585" ht="15.75" customHeight="1">
      <c r="F585" s="37"/>
    </row>
    <row r="586" ht="15.75" customHeight="1">
      <c r="F586" s="37"/>
    </row>
    <row r="587" ht="15.75" customHeight="1">
      <c r="F587" s="37"/>
    </row>
    <row r="588" ht="15.75" customHeight="1">
      <c r="F588" s="37"/>
    </row>
    <row r="589" ht="15.75" customHeight="1">
      <c r="F589" s="37"/>
    </row>
    <row r="590" ht="15.75" customHeight="1">
      <c r="F590" s="37"/>
    </row>
    <row r="591" ht="15.75" customHeight="1">
      <c r="F591" s="37"/>
    </row>
    <row r="592" ht="15.75" customHeight="1">
      <c r="F592" s="37"/>
    </row>
    <row r="593" ht="15.75" customHeight="1">
      <c r="F593" s="37"/>
    </row>
    <row r="594" ht="15.75" customHeight="1">
      <c r="F594" s="37"/>
    </row>
    <row r="595" ht="15.75" customHeight="1">
      <c r="F595" s="37"/>
    </row>
    <row r="596" ht="15.75" customHeight="1">
      <c r="F596" s="37"/>
    </row>
    <row r="597" ht="15.75" customHeight="1">
      <c r="F597" s="37"/>
    </row>
    <row r="598" ht="15.75" customHeight="1">
      <c r="F598" s="37"/>
    </row>
    <row r="599" ht="15.75" customHeight="1">
      <c r="F599" s="37"/>
    </row>
    <row r="600" ht="15.75" customHeight="1">
      <c r="F600" s="37"/>
    </row>
    <row r="601" ht="15.75" customHeight="1">
      <c r="F601" s="37"/>
    </row>
    <row r="602" ht="15.75" customHeight="1">
      <c r="F602" s="37"/>
    </row>
    <row r="603" ht="15.75" customHeight="1">
      <c r="F603" s="37"/>
    </row>
    <row r="604" ht="15.75" customHeight="1">
      <c r="F604" s="37"/>
    </row>
    <row r="605" ht="15.75" customHeight="1">
      <c r="F605" s="37"/>
    </row>
    <row r="606" ht="15.75" customHeight="1">
      <c r="F606" s="37"/>
    </row>
    <row r="607" ht="15.75" customHeight="1">
      <c r="F607" s="37"/>
    </row>
    <row r="608" ht="15.75" customHeight="1">
      <c r="F608" s="37"/>
    </row>
    <row r="609" ht="15.75" customHeight="1">
      <c r="F609" s="37"/>
    </row>
    <row r="610" ht="15.75" customHeight="1">
      <c r="F610" s="37"/>
    </row>
    <row r="611" ht="15.75" customHeight="1">
      <c r="F611" s="37"/>
    </row>
    <row r="612" ht="15.75" customHeight="1">
      <c r="F612" s="37"/>
    </row>
    <row r="613" ht="15.75" customHeight="1">
      <c r="F613" s="37"/>
    </row>
    <row r="614" ht="15.75" customHeight="1">
      <c r="F614" s="37"/>
    </row>
    <row r="615" ht="15.75" customHeight="1">
      <c r="F615" s="37"/>
    </row>
    <row r="616" ht="15.75" customHeight="1">
      <c r="F616" s="37"/>
    </row>
    <row r="617" ht="15.75" customHeight="1">
      <c r="F617" s="37"/>
    </row>
    <row r="618" ht="15.75" customHeight="1">
      <c r="F618" s="37"/>
    </row>
    <row r="619" ht="15.75" customHeight="1">
      <c r="F619" s="37"/>
    </row>
    <row r="620" ht="15.75" customHeight="1">
      <c r="F620" s="37"/>
    </row>
    <row r="621" ht="15.75" customHeight="1">
      <c r="F621" s="37"/>
    </row>
    <row r="622" ht="15.75" customHeight="1">
      <c r="F622" s="37"/>
    </row>
    <row r="623" ht="15.75" customHeight="1">
      <c r="F623" s="37"/>
    </row>
    <row r="624" ht="15.75" customHeight="1">
      <c r="F624" s="37"/>
    </row>
    <row r="625" ht="15.75" customHeight="1">
      <c r="F625" s="37"/>
    </row>
    <row r="626" ht="15.75" customHeight="1">
      <c r="F626" s="37"/>
    </row>
    <row r="627" ht="15.75" customHeight="1">
      <c r="F627" s="37"/>
    </row>
    <row r="628" ht="15.75" customHeight="1">
      <c r="F628" s="37"/>
    </row>
    <row r="629" ht="15.75" customHeight="1">
      <c r="F629" s="37"/>
    </row>
    <row r="630" ht="15.75" customHeight="1">
      <c r="F630" s="37"/>
    </row>
    <row r="631" ht="15.75" customHeight="1">
      <c r="F631" s="37"/>
    </row>
    <row r="632" ht="15.75" customHeight="1">
      <c r="F632" s="37"/>
    </row>
    <row r="633" ht="15.75" customHeight="1">
      <c r="F633" s="37"/>
    </row>
    <row r="634" ht="15.75" customHeight="1">
      <c r="F634" s="37"/>
    </row>
    <row r="635" ht="15.75" customHeight="1">
      <c r="F635" s="37"/>
    </row>
    <row r="636" ht="15.75" customHeight="1">
      <c r="F636" s="37"/>
    </row>
    <row r="637" ht="15.75" customHeight="1">
      <c r="F637" s="37"/>
    </row>
    <row r="638" ht="15.75" customHeight="1">
      <c r="F638" s="37"/>
    </row>
    <row r="639" ht="15.75" customHeight="1">
      <c r="F639" s="37"/>
    </row>
    <row r="640" ht="15.75" customHeight="1">
      <c r="F640" s="37"/>
    </row>
    <row r="641" ht="15.75" customHeight="1">
      <c r="F641" s="37"/>
    </row>
    <row r="642" ht="15.75" customHeight="1">
      <c r="F642" s="37"/>
    </row>
    <row r="643" ht="15.75" customHeight="1">
      <c r="F643" s="37"/>
    </row>
    <row r="644" ht="15.75" customHeight="1">
      <c r="F644" s="37"/>
    </row>
    <row r="645" ht="15.75" customHeight="1">
      <c r="F645" s="37"/>
    </row>
    <row r="646" ht="15.75" customHeight="1">
      <c r="F646" s="37"/>
    </row>
    <row r="647" ht="15.75" customHeight="1">
      <c r="F647" s="37"/>
    </row>
    <row r="648" ht="15.75" customHeight="1">
      <c r="F648" s="37"/>
    </row>
    <row r="649" ht="15.75" customHeight="1">
      <c r="F649" s="37"/>
    </row>
    <row r="650" ht="15.75" customHeight="1">
      <c r="F650" s="37"/>
    </row>
    <row r="651" ht="15.75" customHeight="1">
      <c r="F651" s="37"/>
    </row>
    <row r="652" ht="15.75" customHeight="1">
      <c r="F652" s="37"/>
    </row>
    <row r="653" ht="15.75" customHeight="1">
      <c r="F653" s="37"/>
    </row>
    <row r="654" ht="15.75" customHeight="1">
      <c r="F654" s="37"/>
    </row>
    <row r="655" ht="15.75" customHeight="1">
      <c r="F655" s="37"/>
    </row>
    <row r="656" ht="15.75" customHeight="1">
      <c r="F656" s="37"/>
    </row>
    <row r="657" ht="15.75" customHeight="1">
      <c r="F657" s="37"/>
    </row>
    <row r="658" ht="15.75" customHeight="1">
      <c r="F658" s="37"/>
    </row>
    <row r="659" ht="15.75" customHeight="1">
      <c r="F659" s="37"/>
    </row>
    <row r="660" ht="15.75" customHeight="1">
      <c r="F660" s="37"/>
    </row>
    <row r="661" ht="15.75" customHeight="1">
      <c r="F661" s="37"/>
    </row>
    <row r="662" ht="15.75" customHeight="1">
      <c r="F662" s="37"/>
    </row>
    <row r="663" ht="15.75" customHeight="1">
      <c r="F663" s="37"/>
    </row>
    <row r="664" ht="15.75" customHeight="1">
      <c r="F664" s="37"/>
    </row>
    <row r="665" ht="15.75" customHeight="1">
      <c r="F665" s="37"/>
    </row>
    <row r="666" ht="15.75" customHeight="1">
      <c r="F666" s="37"/>
    </row>
    <row r="667" ht="15.75" customHeight="1">
      <c r="F667" s="37"/>
    </row>
    <row r="668" ht="15.75" customHeight="1">
      <c r="F668" s="37"/>
    </row>
    <row r="669" ht="15.75" customHeight="1">
      <c r="F669" s="37"/>
    </row>
    <row r="670" ht="15.75" customHeight="1">
      <c r="F670" s="37"/>
    </row>
    <row r="671" ht="15.75" customHeight="1">
      <c r="F671" s="37"/>
    </row>
    <row r="672" ht="15.75" customHeight="1">
      <c r="F672" s="37"/>
    </row>
    <row r="673" ht="15.75" customHeight="1">
      <c r="F673" s="37"/>
    </row>
    <row r="674" ht="15.75" customHeight="1">
      <c r="F674" s="37"/>
    </row>
    <row r="675" ht="15.75" customHeight="1">
      <c r="F675" s="37"/>
    </row>
    <row r="676" ht="15.75" customHeight="1">
      <c r="F676" s="37"/>
    </row>
    <row r="677" ht="15.75" customHeight="1">
      <c r="F677" s="37"/>
    </row>
    <row r="678" ht="15.75" customHeight="1">
      <c r="F678" s="37"/>
    </row>
    <row r="679" ht="15.75" customHeight="1">
      <c r="F679" s="37"/>
    </row>
    <row r="680" ht="15.75" customHeight="1">
      <c r="F680" s="37"/>
    </row>
    <row r="681" ht="15.75" customHeight="1">
      <c r="F681" s="37"/>
    </row>
    <row r="682" ht="15.75" customHeight="1">
      <c r="F682" s="37"/>
    </row>
    <row r="683" ht="15.75" customHeight="1">
      <c r="F683" s="37"/>
    </row>
    <row r="684" ht="15.75" customHeight="1">
      <c r="F684" s="37"/>
    </row>
    <row r="685" ht="15.75" customHeight="1">
      <c r="F685" s="37"/>
    </row>
    <row r="686" ht="15.75" customHeight="1">
      <c r="F686" s="37"/>
    </row>
    <row r="687" ht="15.75" customHeight="1">
      <c r="F687" s="37"/>
    </row>
    <row r="688" ht="15.75" customHeight="1">
      <c r="F688" s="37"/>
    </row>
    <row r="689" ht="15.75" customHeight="1">
      <c r="F689" s="37"/>
    </row>
    <row r="690" ht="15.75" customHeight="1">
      <c r="F690" s="37"/>
    </row>
    <row r="691" ht="15.75" customHeight="1">
      <c r="F691" s="37"/>
    </row>
    <row r="692" ht="15.75" customHeight="1">
      <c r="F692" s="37"/>
    </row>
    <row r="693" ht="15.75" customHeight="1">
      <c r="F693" s="37"/>
    </row>
    <row r="694" ht="15.75" customHeight="1">
      <c r="F694" s="37"/>
    </row>
    <row r="695" ht="15.75" customHeight="1">
      <c r="F695" s="37"/>
    </row>
    <row r="696" ht="15.75" customHeight="1">
      <c r="F696" s="37"/>
    </row>
    <row r="697" ht="15.75" customHeight="1">
      <c r="F697" s="37"/>
    </row>
    <row r="698" ht="15.75" customHeight="1">
      <c r="F698" s="37"/>
    </row>
    <row r="699" ht="15.75" customHeight="1">
      <c r="F699" s="37"/>
    </row>
    <row r="700" ht="15.75" customHeight="1">
      <c r="F700" s="37"/>
    </row>
    <row r="701" ht="15.75" customHeight="1">
      <c r="F701" s="37"/>
    </row>
    <row r="702" ht="15.75" customHeight="1">
      <c r="F702" s="37"/>
    </row>
    <row r="703" ht="15.75" customHeight="1">
      <c r="F703" s="37"/>
    </row>
    <row r="704" ht="15.75" customHeight="1">
      <c r="F704" s="37"/>
    </row>
    <row r="705" ht="15.75" customHeight="1">
      <c r="F705" s="37"/>
    </row>
    <row r="706" ht="15.75" customHeight="1">
      <c r="F706" s="37"/>
    </row>
    <row r="707" ht="15.75" customHeight="1">
      <c r="F707" s="37"/>
    </row>
    <row r="708" ht="15.75" customHeight="1">
      <c r="F708" s="37"/>
    </row>
    <row r="709" ht="15.75" customHeight="1">
      <c r="F709" s="37"/>
    </row>
    <row r="710" ht="15.75" customHeight="1">
      <c r="F710" s="37"/>
    </row>
    <row r="711" ht="15.75" customHeight="1">
      <c r="F711" s="37"/>
    </row>
    <row r="712" ht="15.75" customHeight="1">
      <c r="F712" s="37"/>
    </row>
    <row r="713" ht="15.75" customHeight="1">
      <c r="F713" s="37"/>
    </row>
    <row r="714" ht="15.75" customHeight="1">
      <c r="F714" s="37"/>
    </row>
    <row r="715" ht="15.75" customHeight="1">
      <c r="F715" s="37"/>
    </row>
    <row r="716" ht="15.75" customHeight="1">
      <c r="F716" s="37"/>
    </row>
    <row r="717" ht="15.75" customHeight="1">
      <c r="F717" s="37"/>
    </row>
    <row r="718" ht="15.75" customHeight="1">
      <c r="F718" s="37"/>
    </row>
    <row r="719" ht="15.75" customHeight="1">
      <c r="F719" s="37"/>
    </row>
    <row r="720" ht="15.75" customHeight="1">
      <c r="F720" s="37"/>
    </row>
    <row r="721" ht="15.75" customHeight="1">
      <c r="F721" s="37"/>
    </row>
    <row r="722" ht="15.75" customHeight="1">
      <c r="F722" s="37"/>
    </row>
    <row r="723" ht="15.75" customHeight="1">
      <c r="F723" s="37"/>
    </row>
    <row r="724" ht="15.75" customHeight="1">
      <c r="F724" s="37"/>
    </row>
    <row r="725" ht="15.75" customHeight="1">
      <c r="F725" s="37"/>
    </row>
    <row r="726" ht="15.75" customHeight="1">
      <c r="F726" s="37"/>
    </row>
    <row r="727" ht="15.75" customHeight="1">
      <c r="F727" s="37"/>
    </row>
    <row r="728" ht="15.75" customHeight="1">
      <c r="F728" s="37"/>
    </row>
    <row r="729" ht="15.75" customHeight="1">
      <c r="F729" s="37"/>
    </row>
    <row r="730" ht="15.75" customHeight="1">
      <c r="F730" s="37"/>
    </row>
    <row r="731" ht="15.75" customHeight="1">
      <c r="F731" s="37"/>
    </row>
    <row r="732" ht="15.75" customHeight="1">
      <c r="F732" s="37"/>
    </row>
    <row r="733" ht="15.75" customHeight="1">
      <c r="F733" s="37"/>
    </row>
    <row r="734" ht="15.75" customHeight="1">
      <c r="F734" s="37"/>
    </row>
    <row r="735" ht="15.75" customHeight="1">
      <c r="F735" s="37"/>
    </row>
    <row r="736" ht="15.75" customHeight="1">
      <c r="F736" s="37"/>
    </row>
    <row r="737" ht="15.75" customHeight="1">
      <c r="F737" s="37"/>
    </row>
    <row r="738" ht="15.75" customHeight="1">
      <c r="F738" s="37"/>
    </row>
    <row r="739" ht="15.75" customHeight="1">
      <c r="F739" s="37"/>
    </row>
    <row r="740" ht="15.75" customHeight="1">
      <c r="F740" s="37"/>
    </row>
    <row r="741" ht="15.75" customHeight="1">
      <c r="F741" s="37"/>
    </row>
    <row r="742" ht="15.75" customHeight="1">
      <c r="F742" s="37"/>
    </row>
    <row r="743" ht="15.75" customHeight="1">
      <c r="F743" s="37"/>
    </row>
    <row r="744" ht="15.75" customHeight="1">
      <c r="F744" s="37"/>
    </row>
    <row r="745" ht="15.75" customHeight="1">
      <c r="F745" s="37"/>
    </row>
    <row r="746" ht="15.75" customHeight="1">
      <c r="F746" s="37"/>
    </row>
    <row r="747" ht="15.75" customHeight="1">
      <c r="F747" s="37"/>
    </row>
    <row r="748" ht="15.75" customHeight="1">
      <c r="F748" s="37"/>
    </row>
    <row r="749" ht="15.75" customHeight="1">
      <c r="F749" s="37"/>
    </row>
    <row r="750" ht="15.75" customHeight="1">
      <c r="F750" s="37"/>
    </row>
    <row r="751" ht="15.75" customHeight="1">
      <c r="F751" s="37"/>
    </row>
    <row r="752" ht="15.75" customHeight="1">
      <c r="F752" s="37"/>
    </row>
    <row r="753" ht="15.75" customHeight="1">
      <c r="F753" s="37"/>
    </row>
    <row r="754" ht="15.75" customHeight="1">
      <c r="F754" s="37"/>
    </row>
    <row r="755" ht="15.75" customHeight="1">
      <c r="F755" s="37"/>
    </row>
    <row r="756" ht="15.75" customHeight="1">
      <c r="F756" s="37"/>
    </row>
    <row r="757" ht="15.75" customHeight="1">
      <c r="F757" s="37"/>
    </row>
    <row r="758" ht="15.75" customHeight="1">
      <c r="F758" s="37"/>
    </row>
    <row r="759" ht="15.75" customHeight="1">
      <c r="F759" s="37"/>
    </row>
    <row r="760" ht="15.75" customHeight="1">
      <c r="F760" s="37"/>
    </row>
    <row r="761" ht="15.75" customHeight="1">
      <c r="F761" s="37"/>
    </row>
    <row r="762" ht="15.75" customHeight="1">
      <c r="F762" s="37"/>
    </row>
    <row r="763" ht="15.75" customHeight="1">
      <c r="F763" s="37"/>
    </row>
    <row r="764" ht="15.75" customHeight="1">
      <c r="F764" s="37"/>
    </row>
    <row r="765" ht="15.75" customHeight="1">
      <c r="F765" s="37"/>
    </row>
    <row r="766" ht="15.75" customHeight="1">
      <c r="F766" s="37"/>
    </row>
    <row r="767" ht="15.75" customHeight="1">
      <c r="F767" s="37"/>
    </row>
    <row r="768" ht="15.75" customHeight="1">
      <c r="F768" s="37"/>
    </row>
    <row r="769" ht="15.75" customHeight="1">
      <c r="F769" s="37"/>
    </row>
    <row r="770" ht="15.75" customHeight="1">
      <c r="F770" s="37"/>
    </row>
    <row r="771" ht="15.75" customHeight="1">
      <c r="F771" s="37"/>
    </row>
    <row r="772" ht="15.75" customHeight="1">
      <c r="F772" s="37"/>
    </row>
    <row r="773" ht="15.75" customHeight="1">
      <c r="F773" s="37"/>
    </row>
    <row r="774" ht="15.75" customHeight="1">
      <c r="F774" s="37"/>
    </row>
    <row r="775" ht="15.75" customHeight="1">
      <c r="F775" s="37"/>
    </row>
    <row r="776" ht="15.75" customHeight="1">
      <c r="F776" s="37"/>
    </row>
    <row r="777" ht="15.75" customHeight="1">
      <c r="F777" s="37"/>
    </row>
    <row r="778" ht="15.75" customHeight="1">
      <c r="F778" s="37"/>
    </row>
    <row r="779" ht="15.75" customHeight="1">
      <c r="F779" s="37"/>
    </row>
    <row r="780" ht="15.75" customHeight="1">
      <c r="F780" s="37"/>
    </row>
    <row r="781" ht="15.75" customHeight="1">
      <c r="F781" s="37"/>
    </row>
    <row r="782" ht="15.75" customHeight="1">
      <c r="F782" s="37"/>
    </row>
    <row r="783" ht="15.75" customHeight="1">
      <c r="F783" s="37"/>
    </row>
    <row r="784" ht="15.75" customHeight="1">
      <c r="F784" s="37"/>
    </row>
    <row r="785" ht="15.75" customHeight="1">
      <c r="F785" s="37"/>
    </row>
    <row r="786" ht="15.75" customHeight="1">
      <c r="F786" s="37"/>
    </row>
    <row r="787" ht="15.75" customHeight="1">
      <c r="F787" s="37"/>
    </row>
    <row r="788" ht="15.75" customHeight="1">
      <c r="F788" s="37"/>
    </row>
    <row r="789" ht="15.75" customHeight="1">
      <c r="F789" s="37"/>
    </row>
    <row r="790" ht="15.75" customHeight="1">
      <c r="F790" s="37"/>
    </row>
    <row r="791" ht="15.75" customHeight="1">
      <c r="F791" s="37"/>
    </row>
    <row r="792" ht="15.75" customHeight="1">
      <c r="F792" s="37"/>
    </row>
    <row r="793" ht="15.75" customHeight="1">
      <c r="F793" s="37"/>
    </row>
    <row r="794" ht="15.75" customHeight="1">
      <c r="F794" s="37"/>
    </row>
    <row r="795" ht="15.75" customHeight="1">
      <c r="F795" s="37"/>
    </row>
    <row r="796" ht="15.75" customHeight="1">
      <c r="F796" s="37"/>
    </row>
    <row r="797" ht="15.75" customHeight="1">
      <c r="F797" s="37"/>
    </row>
    <row r="798" ht="15.75" customHeight="1">
      <c r="F798" s="37"/>
    </row>
    <row r="799" ht="15.75" customHeight="1">
      <c r="F799" s="37"/>
    </row>
    <row r="800" ht="15.75" customHeight="1">
      <c r="F800" s="37"/>
    </row>
    <row r="801" ht="15.75" customHeight="1">
      <c r="F801" s="37"/>
    </row>
    <row r="802" ht="15.75" customHeight="1">
      <c r="F802" s="37"/>
    </row>
    <row r="803" ht="15.75" customHeight="1">
      <c r="F803" s="37"/>
    </row>
    <row r="804" ht="15.75" customHeight="1">
      <c r="F804" s="37"/>
    </row>
    <row r="805" ht="15.75" customHeight="1">
      <c r="F805" s="37"/>
    </row>
    <row r="806" ht="15.75" customHeight="1">
      <c r="F806" s="37"/>
    </row>
    <row r="807" ht="15.75" customHeight="1">
      <c r="F807" s="37"/>
    </row>
    <row r="808" ht="15.75" customHeight="1">
      <c r="F808" s="37"/>
    </row>
    <row r="809" ht="15.75" customHeight="1">
      <c r="F809" s="37"/>
    </row>
    <row r="810" ht="15.75" customHeight="1">
      <c r="F810" s="37"/>
    </row>
    <row r="811" ht="15.75" customHeight="1">
      <c r="F811" s="37"/>
    </row>
    <row r="812" ht="15.75" customHeight="1">
      <c r="F812" s="37"/>
    </row>
    <row r="813" ht="15.75" customHeight="1">
      <c r="F813" s="37"/>
    </row>
    <row r="814" ht="15.75" customHeight="1">
      <c r="F814" s="37"/>
    </row>
    <row r="815" ht="15.75" customHeight="1">
      <c r="F815" s="37"/>
    </row>
    <row r="816" ht="15.75" customHeight="1">
      <c r="F816" s="37"/>
    </row>
    <row r="817" ht="15.75" customHeight="1">
      <c r="F817" s="37"/>
    </row>
    <row r="818" ht="15.75" customHeight="1">
      <c r="F818" s="37"/>
    </row>
    <row r="819" ht="15.75" customHeight="1">
      <c r="F819" s="37"/>
    </row>
    <row r="820" ht="15.75" customHeight="1">
      <c r="F820" s="37"/>
    </row>
    <row r="821" ht="15.75" customHeight="1">
      <c r="F821" s="37"/>
    </row>
    <row r="822" ht="15.75" customHeight="1">
      <c r="F822" s="37"/>
    </row>
    <row r="823" ht="15.75" customHeight="1">
      <c r="F823" s="37"/>
    </row>
    <row r="824" ht="15.75" customHeight="1">
      <c r="F824" s="37"/>
    </row>
    <row r="825" ht="15.75" customHeight="1">
      <c r="F825" s="37"/>
    </row>
    <row r="826" ht="15.75" customHeight="1">
      <c r="F826" s="37"/>
    </row>
    <row r="827" ht="15.75" customHeight="1">
      <c r="F827" s="37"/>
    </row>
    <row r="828" ht="15.75" customHeight="1">
      <c r="F828" s="37"/>
    </row>
    <row r="829" ht="15.75" customHeight="1">
      <c r="F829" s="37"/>
    </row>
    <row r="830" ht="15.75" customHeight="1">
      <c r="F830" s="37"/>
    </row>
    <row r="831" ht="15.75" customHeight="1">
      <c r="F831" s="37"/>
    </row>
    <row r="832" ht="15.75" customHeight="1">
      <c r="F832" s="37"/>
    </row>
    <row r="833" ht="15.75" customHeight="1">
      <c r="F833" s="37"/>
    </row>
    <row r="834" ht="15.75" customHeight="1">
      <c r="F834" s="37"/>
    </row>
    <row r="835" ht="15.75" customHeight="1">
      <c r="F835" s="37"/>
    </row>
    <row r="836" ht="15.75" customHeight="1">
      <c r="F836" s="37"/>
    </row>
    <row r="837" ht="15.75" customHeight="1">
      <c r="F837" s="37"/>
    </row>
    <row r="838" ht="15.75" customHeight="1">
      <c r="F838" s="37"/>
    </row>
    <row r="839" ht="15.75" customHeight="1">
      <c r="F839" s="37"/>
    </row>
    <row r="840" ht="15.75" customHeight="1">
      <c r="F840" s="37"/>
    </row>
    <row r="841" ht="15.75" customHeight="1">
      <c r="F841" s="37"/>
    </row>
    <row r="842" ht="15.75" customHeight="1">
      <c r="F842" s="37"/>
    </row>
    <row r="843" ht="15.75" customHeight="1">
      <c r="F843" s="37"/>
    </row>
    <row r="844" ht="15.75" customHeight="1">
      <c r="F844" s="37"/>
    </row>
    <row r="845" ht="15.75" customHeight="1">
      <c r="F845" s="37"/>
    </row>
    <row r="846" ht="15.75" customHeight="1">
      <c r="F846" s="37"/>
    </row>
    <row r="847" ht="15.75" customHeight="1">
      <c r="F847" s="37"/>
    </row>
    <row r="848" ht="15.75" customHeight="1">
      <c r="F848" s="37"/>
    </row>
    <row r="849" ht="15.75" customHeight="1">
      <c r="F849" s="37"/>
    </row>
    <row r="850" ht="15.75" customHeight="1">
      <c r="F850" s="37"/>
    </row>
    <row r="851" ht="15.75" customHeight="1">
      <c r="F851" s="37"/>
    </row>
    <row r="852" ht="15.75" customHeight="1">
      <c r="F852" s="37"/>
    </row>
    <row r="853" ht="15.75" customHeight="1">
      <c r="F853" s="37"/>
    </row>
    <row r="854" ht="15.75" customHeight="1">
      <c r="F854" s="37"/>
    </row>
    <row r="855" ht="15.75" customHeight="1">
      <c r="F855" s="37"/>
    </row>
    <row r="856" ht="15.75" customHeight="1">
      <c r="F856" s="37"/>
    </row>
    <row r="857" ht="15.75" customHeight="1">
      <c r="F857" s="37"/>
    </row>
    <row r="858" ht="15.75" customHeight="1">
      <c r="F858" s="37"/>
    </row>
    <row r="859" ht="15.75" customHeight="1">
      <c r="F859" s="37"/>
    </row>
    <row r="860" ht="15.75" customHeight="1">
      <c r="F860" s="37"/>
    </row>
    <row r="861" ht="15.75" customHeight="1">
      <c r="F861" s="37"/>
    </row>
    <row r="862" ht="15.75" customHeight="1">
      <c r="F862" s="37"/>
    </row>
    <row r="863" ht="15.75" customHeight="1">
      <c r="F863" s="37"/>
    </row>
    <row r="864" ht="15.75" customHeight="1">
      <c r="F864" s="37"/>
    </row>
    <row r="865" ht="15.75" customHeight="1">
      <c r="F865" s="37"/>
    </row>
    <row r="866" ht="15.75" customHeight="1">
      <c r="F866" s="37"/>
    </row>
    <row r="867" ht="15.75" customHeight="1">
      <c r="F867" s="37"/>
    </row>
    <row r="868" ht="15.75" customHeight="1">
      <c r="F868" s="37"/>
    </row>
    <row r="869" ht="15.75" customHeight="1">
      <c r="F869" s="37"/>
    </row>
    <row r="870" ht="15.75" customHeight="1">
      <c r="F870" s="37"/>
    </row>
    <row r="871" ht="15.75" customHeight="1">
      <c r="F871" s="37"/>
    </row>
    <row r="872" ht="15.75" customHeight="1">
      <c r="F872" s="37"/>
    </row>
    <row r="873" ht="15.75" customHeight="1">
      <c r="F873" s="37"/>
    </row>
    <row r="874" ht="15.75" customHeight="1">
      <c r="F874" s="37"/>
    </row>
    <row r="875" ht="15.75" customHeight="1">
      <c r="F875" s="37"/>
    </row>
    <row r="876" ht="15.75" customHeight="1">
      <c r="F876" s="37"/>
    </row>
    <row r="877" ht="15.75" customHeight="1">
      <c r="F877" s="37"/>
    </row>
    <row r="878" ht="15.75" customHeight="1">
      <c r="F878" s="37"/>
    </row>
    <row r="879" ht="15.75" customHeight="1">
      <c r="F879" s="37"/>
    </row>
    <row r="880" ht="15.75" customHeight="1">
      <c r="F880" s="37"/>
    </row>
    <row r="881" ht="15.75" customHeight="1">
      <c r="F881" s="37"/>
    </row>
    <row r="882" ht="15.75" customHeight="1">
      <c r="F882" s="37"/>
    </row>
    <row r="883" ht="15.75" customHeight="1">
      <c r="F883" s="37"/>
    </row>
    <row r="884" ht="15.75" customHeight="1">
      <c r="F884" s="37"/>
    </row>
    <row r="885" ht="15.75" customHeight="1">
      <c r="F885" s="37"/>
    </row>
    <row r="886" ht="15.75" customHeight="1">
      <c r="F886" s="37"/>
    </row>
    <row r="887" ht="15.75" customHeight="1">
      <c r="F887" s="37"/>
    </row>
    <row r="888" ht="15.75" customHeight="1">
      <c r="F888" s="37"/>
    </row>
    <row r="889" ht="15.75" customHeight="1">
      <c r="F889" s="37"/>
    </row>
    <row r="890" ht="15.75" customHeight="1">
      <c r="F890" s="37"/>
    </row>
    <row r="891" ht="15.75" customHeight="1">
      <c r="F891" s="37"/>
    </row>
    <row r="892" ht="15.75" customHeight="1">
      <c r="F892" s="37"/>
    </row>
    <row r="893" ht="15.75" customHeight="1">
      <c r="F893" s="37"/>
    </row>
    <row r="894" ht="15.75" customHeight="1">
      <c r="F894" s="37"/>
    </row>
    <row r="895" ht="15.75" customHeight="1">
      <c r="F895" s="37"/>
    </row>
    <row r="896" ht="15.75" customHeight="1">
      <c r="F896" s="37"/>
    </row>
    <row r="897" ht="15.75" customHeight="1">
      <c r="F897" s="37"/>
    </row>
    <row r="898" ht="15.75" customHeight="1">
      <c r="F898" s="37"/>
    </row>
    <row r="899" ht="15.75" customHeight="1">
      <c r="F899" s="37"/>
    </row>
    <row r="900" ht="15.75" customHeight="1">
      <c r="F900" s="37"/>
    </row>
    <row r="901" ht="15.75" customHeight="1">
      <c r="F901" s="37"/>
    </row>
    <row r="902" ht="15.75" customHeight="1">
      <c r="F902" s="37"/>
    </row>
    <row r="903" ht="15.75" customHeight="1">
      <c r="F903" s="37"/>
    </row>
    <row r="904" ht="15.75" customHeight="1">
      <c r="F904" s="37"/>
    </row>
    <row r="905" ht="15.75" customHeight="1">
      <c r="F905" s="37"/>
    </row>
    <row r="906" ht="15.75" customHeight="1">
      <c r="F906" s="37"/>
    </row>
    <row r="907" ht="15.75" customHeight="1">
      <c r="F907" s="37"/>
    </row>
    <row r="908" ht="15.75" customHeight="1">
      <c r="F908" s="37"/>
    </row>
    <row r="909" ht="15.75" customHeight="1">
      <c r="F909" s="37"/>
    </row>
    <row r="910" ht="15.75" customHeight="1">
      <c r="F910" s="37"/>
    </row>
    <row r="911" ht="15.75" customHeight="1">
      <c r="F911" s="37"/>
    </row>
    <row r="912" ht="15.75" customHeight="1">
      <c r="F912" s="37"/>
    </row>
    <row r="913" ht="15.75" customHeight="1">
      <c r="F913" s="37"/>
    </row>
    <row r="914" ht="15.75" customHeight="1">
      <c r="F914" s="37"/>
    </row>
    <row r="915" ht="15.75" customHeight="1">
      <c r="F915" s="37"/>
    </row>
    <row r="916" ht="15.75" customHeight="1">
      <c r="F916" s="37"/>
    </row>
    <row r="917" ht="15.75" customHeight="1">
      <c r="F917" s="37"/>
    </row>
    <row r="918" ht="15.75" customHeight="1">
      <c r="F918" s="37"/>
    </row>
    <row r="919" ht="15.75" customHeight="1">
      <c r="F919" s="37"/>
    </row>
    <row r="920" ht="15.75" customHeight="1">
      <c r="F920" s="37"/>
    </row>
    <row r="921" ht="15.75" customHeight="1">
      <c r="F921" s="37"/>
    </row>
    <row r="922" ht="15.75" customHeight="1">
      <c r="F922" s="37"/>
    </row>
    <row r="923" ht="15.75" customHeight="1">
      <c r="F923" s="37"/>
    </row>
    <row r="924" ht="15.75" customHeight="1">
      <c r="F924" s="37"/>
    </row>
    <row r="925" ht="15.75" customHeight="1">
      <c r="F925" s="37"/>
    </row>
    <row r="926" ht="15.75" customHeight="1">
      <c r="F926" s="37"/>
    </row>
    <row r="927" ht="15.75" customHeight="1">
      <c r="F927" s="37"/>
    </row>
    <row r="928" ht="15.75" customHeight="1">
      <c r="F928" s="37"/>
    </row>
    <row r="929" ht="15.75" customHeight="1">
      <c r="F929" s="37"/>
    </row>
    <row r="930" ht="15.75" customHeight="1">
      <c r="F930" s="37"/>
    </row>
    <row r="931" ht="15.75" customHeight="1">
      <c r="F931" s="37"/>
    </row>
    <row r="932" ht="15.75" customHeight="1">
      <c r="F932" s="37"/>
    </row>
    <row r="933" ht="15.75" customHeight="1">
      <c r="F933" s="37"/>
    </row>
    <row r="934" ht="15.75" customHeight="1">
      <c r="F934" s="37"/>
    </row>
    <row r="935" ht="15.75" customHeight="1">
      <c r="F935" s="37"/>
    </row>
    <row r="936" ht="15.75" customHeight="1">
      <c r="F936" s="37"/>
    </row>
    <row r="937" ht="15.75" customHeight="1">
      <c r="F937" s="37"/>
    </row>
    <row r="938" ht="15.75" customHeight="1">
      <c r="F938" s="37"/>
    </row>
    <row r="939" ht="15.75" customHeight="1">
      <c r="F939" s="37"/>
    </row>
    <row r="940" ht="15.75" customHeight="1">
      <c r="F940" s="37"/>
    </row>
    <row r="941" ht="15.75" customHeight="1">
      <c r="F941" s="37"/>
    </row>
    <row r="942" ht="15.75" customHeight="1">
      <c r="F942" s="37"/>
    </row>
    <row r="943" ht="15.75" customHeight="1">
      <c r="F943" s="37"/>
    </row>
    <row r="944" ht="15.75" customHeight="1">
      <c r="F944" s="37"/>
    </row>
    <row r="945" ht="15.75" customHeight="1">
      <c r="F945" s="37"/>
    </row>
    <row r="946" ht="15.75" customHeight="1">
      <c r="F946" s="37"/>
    </row>
    <row r="947" ht="15.75" customHeight="1">
      <c r="F947" s="37"/>
    </row>
    <row r="948" ht="15.75" customHeight="1">
      <c r="F948" s="37"/>
    </row>
    <row r="949" ht="15.75" customHeight="1">
      <c r="F949" s="37"/>
    </row>
    <row r="950" ht="15.75" customHeight="1">
      <c r="F950" s="37"/>
    </row>
    <row r="951" ht="15.75" customHeight="1">
      <c r="F951" s="37"/>
    </row>
    <row r="952" ht="15.75" customHeight="1">
      <c r="F952" s="37"/>
    </row>
    <row r="953" ht="15.75" customHeight="1">
      <c r="F953" s="37"/>
    </row>
    <row r="954" ht="15.75" customHeight="1">
      <c r="F954" s="37"/>
    </row>
    <row r="955" ht="15.75" customHeight="1">
      <c r="F955" s="37"/>
    </row>
    <row r="956" ht="15.75" customHeight="1">
      <c r="F956" s="37"/>
    </row>
    <row r="957" ht="15.75" customHeight="1">
      <c r="F957" s="37"/>
    </row>
    <row r="958" ht="15.75" customHeight="1">
      <c r="F958" s="37"/>
    </row>
    <row r="959" ht="15.75" customHeight="1">
      <c r="F959" s="37"/>
    </row>
    <row r="960" ht="15.75" customHeight="1">
      <c r="F960" s="37"/>
    </row>
    <row r="961" ht="15.75" customHeight="1">
      <c r="F961" s="37"/>
    </row>
    <row r="962" ht="15.75" customHeight="1">
      <c r="F962" s="37"/>
    </row>
    <row r="963" ht="15.75" customHeight="1">
      <c r="F963" s="37"/>
    </row>
    <row r="964" ht="15.75" customHeight="1">
      <c r="F964" s="37"/>
    </row>
    <row r="965" ht="15.75" customHeight="1">
      <c r="F965" s="37"/>
    </row>
    <row r="966" ht="15.75" customHeight="1">
      <c r="F966" s="37"/>
    </row>
    <row r="967" ht="15.75" customHeight="1">
      <c r="F967" s="37"/>
    </row>
    <row r="968" ht="15.75" customHeight="1">
      <c r="F968" s="37"/>
    </row>
    <row r="969" ht="15.75" customHeight="1">
      <c r="F969" s="37"/>
    </row>
    <row r="970" ht="15.75" customHeight="1">
      <c r="F970" s="37"/>
    </row>
    <row r="971" ht="15.75" customHeight="1">
      <c r="F971" s="37"/>
    </row>
    <row r="972" ht="15.75" customHeight="1">
      <c r="F972" s="37"/>
    </row>
    <row r="973" ht="15.75" customHeight="1">
      <c r="F973" s="37"/>
    </row>
    <row r="974" ht="15.75" customHeight="1">
      <c r="F974" s="37"/>
    </row>
    <row r="975" ht="15.75" customHeight="1">
      <c r="F975" s="37"/>
    </row>
    <row r="976" ht="15.75" customHeight="1">
      <c r="F976" s="37"/>
    </row>
    <row r="977" ht="15.75" customHeight="1">
      <c r="F977" s="37"/>
    </row>
    <row r="978" ht="15.75" customHeight="1">
      <c r="F978" s="37"/>
    </row>
    <row r="979" ht="15.75" customHeight="1">
      <c r="F979" s="37"/>
    </row>
    <row r="980" ht="15.75" customHeight="1">
      <c r="F980" s="37"/>
    </row>
    <row r="981" ht="15.75" customHeight="1">
      <c r="F981" s="37"/>
    </row>
    <row r="982" ht="15.75" customHeight="1">
      <c r="F982" s="37"/>
    </row>
    <row r="983" ht="15.75" customHeight="1">
      <c r="F983" s="37"/>
    </row>
    <row r="984" ht="15.75" customHeight="1">
      <c r="F984" s="37"/>
    </row>
    <row r="985" ht="15.75" customHeight="1">
      <c r="F985" s="37"/>
    </row>
    <row r="986" ht="15.75" customHeight="1">
      <c r="F986" s="37"/>
    </row>
    <row r="987" ht="15.75" customHeight="1">
      <c r="F987" s="37"/>
    </row>
    <row r="988" ht="15.75" customHeight="1">
      <c r="F988" s="37"/>
    </row>
    <row r="989" ht="15.75" customHeight="1">
      <c r="F989" s="37"/>
    </row>
    <row r="990" ht="15.75" customHeight="1">
      <c r="F990" s="37"/>
    </row>
    <row r="991" ht="15.75" customHeight="1">
      <c r="F991" s="37"/>
    </row>
    <row r="992" ht="15.75" customHeight="1">
      <c r="F992" s="37"/>
    </row>
    <row r="993" ht="15.75" customHeight="1">
      <c r="F993" s="37"/>
    </row>
    <row r="994" ht="15.75" customHeight="1">
      <c r="F994" s="37"/>
    </row>
    <row r="995" ht="15.75" customHeight="1">
      <c r="F995" s="37"/>
    </row>
    <row r="996" ht="15.75" customHeight="1">
      <c r="F996" s="37"/>
    </row>
    <row r="997" ht="15.75" customHeight="1">
      <c r="F997" s="37"/>
    </row>
    <row r="998" ht="15.75" customHeight="1">
      <c r="F998" s="37"/>
    </row>
    <row r="999" ht="15.75" customHeight="1">
      <c r="F999" s="3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1.86"/>
    <col customWidth="1" min="3" max="3" width="9.57"/>
    <col customWidth="1" min="4" max="4" width="12.14"/>
    <col customWidth="1" min="5" max="5" width="18.29"/>
    <col customWidth="1" min="6" max="6" width="15.86"/>
    <col customWidth="1" min="7" max="9" width="19.14"/>
    <col customWidth="1" min="10" max="26" width="8.71"/>
  </cols>
  <sheetData>
    <row r="1">
      <c r="A1" s="40" t="s">
        <v>2</v>
      </c>
      <c r="B1" s="40" t="s">
        <v>191</v>
      </c>
      <c r="C1" s="40" t="s">
        <v>192</v>
      </c>
      <c r="D1" s="40" t="s">
        <v>193</v>
      </c>
      <c r="E1" s="40" t="s">
        <v>194</v>
      </c>
      <c r="F1" s="40" t="s">
        <v>195</v>
      </c>
      <c r="G1" s="41" t="s">
        <v>196</v>
      </c>
      <c r="H1" s="41" t="s">
        <v>197</v>
      </c>
      <c r="I1" s="41" t="s">
        <v>198</v>
      </c>
    </row>
    <row r="2">
      <c r="A2" s="18" t="s">
        <v>57</v>
      </c>
      <c r="B2" s="18">
        <v>1.0</v>
      </c>
      <c r="C2" s="18">
        <v>21.0</v>
      </c>
      <c r="D2" s="19">
        <v>38.59</v>
      </c>
      <c r="E2" s="19">
        <v>38.59</v>
      </c>
      <c r="F2" s="19">
        <v>1.837619047619048</v>
      </c>
      <c r="G2" s="19" t="s">
        <v>199</v>
      </c>
      <c r="H2" s="19">
        <v>4.0</v>
      </c>
      <c r="I2" s="19" t="s">
        <v>199</v>
      </c>
    </row>
    <row r="3">
      <c r="A3" s="18" t="s">
        <v>58</v>
      </c>
      <c r="B3" s="18">
        <v>2.0</v>
      </c>
      <c r="C3" s="18">
        <v>24.0</v>
      </c>
      <c r="D3" s="19">
        <v>30.06</v>
      </c>
      <c r="E3" s="19">
        <v>15.03</v>
      </c>
      <c r="F3" s="19">
        <v>1.2525</v>
      </c>
      <c r="G3" s="19" t="s">
        <v>199</v>
      </c>
      <c r="H3" s="19">
        <v>4.5</v>
      </c>
      <c r="I3" s="19" t="s">
        <v>199</v>
      </c>
    </row>
    <row r="4">
      <c r="A4" s="18" t="s">
        <v>59</v>
      </c>
      <c r="B4" s="18">
        <v>2.0</v>
      </c>
      <c r="C4" s="18">
        <v>24.0</v>
      </c>
      <c r="D4" s="19">
        <v>30.1</v>
      </c>
      <c r="E4" s="19">
        <v>15.05</v>
      </c>
      <c r="F4" s="19">
        <v>1.254166666666667</v>
      </c>
      <c r="G4" s="19" t="s">
        <v>199</v>
      </c>
      <c r="H4" s="19">
        <v>4.5</v>
      </c>
      <c r="I4" s="19" t="s">
        <v>199</v>
      </c>
    </row>
    <row r="5">
      <c r="A5" s="18" t="s">
        <v>22</v>
      </c>
      <c r="B5" s="18">
        <v>7.0</v>
      </c>
      <c r="C5" s="18">
        <v>84.0</v>
      </c>
      <c r="D5" s="19">
        <v>89.67</v>
      </c>
      <c r="E5" s="19">
        <v>12.81</v>
      </c>
      <c r="F5" s="19">
        <v>1.0675</v>
      </c>
      <c r="G5" s="19">
        <v>5.0</v>
      </c>
      <c r="H5" s="19">
        <v>5.0</v>
      </c>
      <c r="I5" s="19">
        <v>6.0</v>
      </c>
    </row>
    <row r="6">
      <c r="A6" s="18" t="s">
        <v>27</v>
      </c>
      <c r="B6" s="18">
        <v>7.0</v>
      </c>
      <c r="C6" s="18">
        <v>84.0</v>
      </c>
      <c r="D6" s="19">
        <v>101.81</v>
      </c>
      <c r="E6" s="19">
        <v>14.54428571428572</v>
      </c>
      <c r="F6" s="19">
        <v>1.21202380952381</v>
      </c>
      <c r="G6" s="19">
        <v>5.0</v>
      </c>
      <c r="H6" s="19">
        <v>5.0</v>
      </c>
      <c r="I6" s="19">
        <v>6.0</v>
      </c>
    </row>
    <row r="7">
      <c r="A7" s="18" t="s">
        <v>54</v>
      </c>
      <c r="B7" s="18">
        <v>1.0</v>
      </c>
      <c r="C7" s="18">
        <v>12.0</v>
      </c>
      <c r="D7" s="19">
        <v>31.0</v>
      </c>
      <c r="E7" s="19">
        <v>31.0</v>
      </c>
      <c r="F7" s="19">
        <v>2.583333333333333</v>
      </c>
      <c r="G7" s="19">
        <v>5.0</v>
      </c>
      <c r="H7" s="19">
        <v>5.0</v>
      </c>
      <c r="I7" s="19" t="s">
        <v>199</v>
      </c>
    </row>
    <row r="8">
      <c r="A8" s="18" t="s">
        <v>55</v>
      </c>
      <c r="F8" s="19">
        <v>2.6075</v>
      </c>
      <c r="G8" s="19">
        <v>5.0</v>
      </c>
      <c r="H8" s="19">
        <v>5.0</v>
      </c>
      <c r="I8" s="19" t="s">
        <v>199</v>
      </c>
    </row>
    <row r="9">
      <c r="A9" s="18" t="s">
        <v>60</v>
      </c>
      <c r="F9" s="19">
        <v>2.35</v>
      </c>
      <c r="G9" s="19" t="s">
        <v>199</v>
      </c>
      <c r="H9" s="19">
        <v>6.0</v>
      </c>
      <c r="I9" s="19" t="s">
        <v>199</v>
      </c>
    </row>
    <row r="10">
      <c r="A10" s="18" t="s">
        <v>61</v>
      </c>
      <c r="F10" s="19">
        <v>2.35</v>
      </c>
      <c r="G10" s="19" t="s">
        <v>199</v>
      </c>
      <c r="H10" s="19">
        <v>6.0</v>
      </c>
      <c r="I10" s="19" t="s">
        <v>199</v>
      </c>
    </row>
    <row r="11">
      <c r="A11" s="18" t="s">
        <v>44</v>
      </c>
      <c r="B11" s="18">
        <v>33.0</v>
      </c>
      <c r="C11" s="18">
        <v>396.0</v>
      </c>
      <c r="D11" s="19">
        <v>1000.83</v>
      </c>
      <c r="E11" s="19">
        <v>30.32818181818181</v>
      </c>
      <c r="F11" s="19">
        <v>2.527348484848485</v>
      </c>
      <c r="G11" s="19">
        <v>7.0</v>
      </c>
      <c r="H11" s="19">
        <v>8.0</v>
      </c>
      <c r="I11" s="19">
        <v>9.0</v>
      </c>
    </row>
    <row r="12">
      <c r="A12" s="18" t="s">
        <v>45</v>
      </c>
      <c r="B12" s="18">
        <v>16.0</v>
      </c>
      <c r="C12" s="18">
        <v>192.0</v>
      </c>
      <c r="D12" s="19">
        <v>490.32</v>
      </c>
      <c r="E12" s="19">
        <v>30.645</v>
      </c>
      <c r="F12" s="19">
        <v>2.55375</v>
      </c>
      <c r="G12" s="19">
        <v>7.0</v>
      </c>
      <c r="H12" s="19">
        <v>8.0</v>
      </c>
      <c r="I12" s="19">
        <v>9.0</v>
      </c>
    </row>
    <row r="13">
      <c r="A13" s="18" t="s">
        <v>62</v>
      </c>
      <c r="B13" s="18">
        <v>2.0</v>
      </c>
      <c r="C13" s="18">
        <v>24.0</v>
      </c>
      <c r="D13" s="19">
        <v>61.7</v>
      </c>
      <c r="E13" s="19">
        <v>30.85</v>
      </c>
      <c r="F13" s="19">
        <v>2.570833333333333</v>
      </c>
      <c r="G13" s="19" t="s">
        <v>199</v>
      </c>
      <c r="H13" s="19">
        <v>8.0</v>
      </c>
      <c r="I13" s="19" t="s">
        <v>199</v>
      </c>
    </row>
    <row r="14">
      <c r="A14" s="18" t="s">
        <v>47</v>
      </c>
      <c r="B14" s="18">
        <v>1.0</v>
      </c>
      <c r="C14" s="18">
        <v>12.0</v>
      </c>
      <c r="D14" s="19">
        <v>31.2</v>
      </c>
      <c r="E14" s="19">
        <v>31.2</v>
      </c>
      <c r="F14" s="19">
        <v>2.6</v>
      </c>
      <c r="G14" s="19">
        <v>7.0</v>
      </c>
      <c r="H14" s="19">
        <v>8.0</v>
      </c>
      <c r="I14" s="19" t="s">
        <v>199</v>
      </c>
    </row>
    <row r="15">
      <c r="A15" s="18" t="s">
        <v>48</v>
      </c>
      <c r="B15" s="18">
        <v>7.0</v>
      </c>
      <c r="C15" s="18">
        <v>84.0</v>
      </c>
      <c r="D15" s="19">
        <v>219.03</v>
      </c>
      <c r="E15" s="19">
        <v>31.29</v>
      </c>
      <c r="F15" s="19">
        <v>2.6075</v>
      </c>
      <c r="G15" s="19">
        <v>7.0</v>
      </c>
      <c r="H15" s="19">
        <v>8.0</v>
      </c>
      <c r="I15" s="19">
        <v>9.0</v>
      </c>
    </row>
    <row r="16">
      <c r="A16" s="18" t="s">
        <v>49</v>
      </c>
      <c r="F16" s="19">
        <v>2.6075</v>
      </c>
      <c r="G16" s="19">
        <v>7.0</v>
      </c>
      <c r="H16" s="19">
        <v>8.0</v>
      </c>
      <c r="I16" s="19" t="s">
        <v>199</v>
      </c>
    </row>
    <row r="17">
      <c r="A17" s="18" t="s">
        <v>50</v>
      </c>
      <c r="F17" s="19">
        <v>2.6075</v>
      </c>
      <c r="G17" s="19">
        <v>7.0</v>
      </c>
      <c r="H17" s="19">
        <v>8.0</v>
      </c>
      <c r="I17" s="19" t="s">
        <v>199</v>
      </c>
    </row>
    <row r="18">
      <c r="A18" s="18" t="s">
        <v>30</v>
      </c>
      <c r="B18" s="18">
        <v>16.0</v>
      </c>
      <c r="C18" s="18">
        <v>192.0</v>
      </c>
      <c r="D18" s="19">
        <v>636.92</v>
      </c>
      <c r="E18" s="19">
        <v>39.8075</v>
      </c>
      <c r="F18" s="19">
        <v>3.317291666666666</v>
      </c>
      <c r="G18" s="19">
        <v>12.0</v>
      </c>
      <c r="H18" s="19">
        <v>12.0</v>
      </c>
      <c r="I18" s="19">
        <v>12.9</v>
      </c>
    </row>
    <row r="19">
      <c r="A19" s="18" t="s">
        <v>31</v>
      </c>
      <c r="B19" s="18">
        <v>6.0</v>
      </c>
      <c r="C19" s="18">
        <v>72.0</v>
      </c>
      <c r="D19" s="19">
        <v>239.26</v>
      </c>
      <c r="E19" s="19">
        <v>39.87666666666667</v>
      </c>
      <c r="F19" s="19">
        <v>3.323055555555555</v>
      </c>
      <c r="G19" s="19">
        <v>12.0</v>
      </c>
      <c r="H19" s="19">
        <v>12.0</v>
      </c>
      <c r="I19" s="19">
        <v>12.9</v>
      </c>
    </row>
    <row r="20" ht="15.75" customHeight="1">
      <c r="A20" s="18" t="s">
        <v>36</v>
      </c>
      <c r="B20" s="18">
        <v>2.0</v>
      </c>
      <c r="C20" s="18">
        <v>24.0</v>
      </c>
      <c r="D20" s="19">
        <v>88.0</v>
      </c>
      <c r="E20" s="19">
        <v>44.0</v>
      </c>
      <c r="F20" s="19">
        <v>3.666666666666667</v>
      </c>
      <c r="G20" s="19">
        <v>12.0</v>
      </c>
      <c r="H20" s="19">
        <v>12.0</v>
      </c>
      <c r="I20" s="19">
        <v>12.9</v>
      </c>
    </row>
    <row r="21" ht="15.75" customHeight="1">
      <c r="A21" s="18" t="s">
        <v>63</v>
      </c>
      <c r="F21" s="19">
        <v>2.6075</v>
      </c>
      <c r="G21" s="19" t="s">
        <v>199</v>
      </c>
      <c r="H21" s="19">
        <v>12.0</v>
      </c>
      <c r="I21" s="19">
        <v>12.9</v>
      </c>
    </row>
    <row r="22" ht="15.75" customHeight="1">
      <c r="A22" s="18" t="s">
        <v>40</v>
      </c>
      <c r="B22" s="18">
        <v>36.0</v>
      </c>
      <c r="C22" s="18">
        <v>36.0</v>
      </c>
      <c r="D22" s="19">
        <v>162.0</v>
      </c>
      <c r="E22" s="19">
        <v>4.5</v>
      </c>
      <c r="F22" s="19">
        <v>4.5</v>
      </c>
      <c r="G22" s="19">
        <v>14.0</v>
      </c>
      <c r="H22" s="19">
        <v>14.0</v>
      </c>
      <c r="I22" s="19">
        <v>15.0</v>
      </c>
    </row>
    <row r="23" ht="15.75" customHeight="1">
      <c r="A23" s="18" t="s">
        <v>43</v>
      </c>
      <c r="B23" s="18">
        <v>24.0</v>
      </c>
      <c r="C23" s="18">
        <v>24.0</v>
      </c>
      <c r="D23" s="19">
        <v>120.0</v>
      </c>
      <c r="E23" s="19">
        <v>5.0</v>
      </c>
      <c r="F23" s="19">
        <v>5.0</v>
      </c>
      <c r="G23" s="19">
        <v>14.0</v>
      </c>
      <c r="H23" s="19">
        <v>14.0</v>
      </c>
      <c r="I23" s="19">
        <v>15.0</v>
      </c>
    </row>
    <row r="24" ht="15.75" customHeight="1">
      <c r="A24" s="18" t="s">
        <v>64</v>
      </c>
      <c r="B24" s="18">
        <v>1.0</v>
      </c>
      <c r="C24" s="18">
        <v>1.0</v>
      </c>
      <c r="D24" s="19">
        <v>748.1</v>
      </c>
      <c r="E24" s="19">
        <v>748.1</v>
      </c>
      <c r="F24" s="19">
        <f>(E23/50)/2</f>
        <v>0.05</v>
      </c>
      <c r="G24" s="19" t="s">
        <v>199</v>
      </c>
      <c r="H24" s="19">
        <v>14.0</v>
      </c>
      <c r="I24" s="19" t="s">
        <v>199</v>
      </c>
    </row>
    <row r="25" ht="15.75" customHeight="1">
      <c r="A25" s="18" t="s">
        <v>65</v>
      </c>
      <c r="B25" s="18">
        <v>8.0</v>
      </c>
      <c r="C25" s="18">
        <v>48.0</v>
      </c>
      <c r="D25" s="19">
        <v>278.44</v>
      </c>
      <c r="E25" s="19">
        <v>34.805</v>
      </c>
      <c r="F25" s="19">
        <v>5.800833333333333</v>
      </c>
      <c r="G25" s="19" t="s">
        <v>199</v>
      </c>
      <c r="H25" s="19">
        <v>15.0</v>
      </c>
      <c r="I25" s="19" t="s">
        <v>199</v>
      </c>
    </row>
    <row r="26" ht="15.75" customHeight="1">
      <c r="A26" s="18" t="s">
        <v>66</v>
      </c>
      <c r="B26" s="18">
        <v>4.0</v>
      </c>
      <c r="C26" s="18">
        <v>48.0</v>
      </c>
      <c r="D26" s="19">
        <v>351.52</v>
      </c>
      <c r="E26" s="19">
        <v>87.88</v>
      </c>
      <c r="F26" s="19">
        <v>7.323333333333333</v>
      </c>
      <c r="G26" s="19" t="s">
        <v>199</v>
      </c>
      <c r="H26" s="19">
        <v>16.0</v>
      </c>
      <c r="I26" s="19" t="s">
        <v>199</v>
      </c>
    </row>
    <row r="27" ht="15.75" customHeight="1">
      <c r="A27" s="18" t="s">
        <v>51</v>
      </c>
      <c r="B27" s="18">
        <v>3.0</v>
      </c>
      <c r="C27" s="18">
        <v>24.0</v>
      </c>
      <c r="D27" s="19">
        <v>195.84</v>
      </c>
      <c r="E27" s="19">
        <v>65.28</v>
      </c>
      <c r="F27" s="19">
        <v>8.16</v>
      </c>
      <c r="G27" s="19">
        <v>20.0</v>
      </c>
      <c r="H27" s="19">
        <v>20.0</v>
      </c>
      <c r="I27" s="19">
        <v>22.0</v>
      </c>
    </row>
    <row r="28" ht="15.75" customHeight="1">
      <c r="A28" s="18" t="s">
        <v>52</v>
      </c>
      <c r="B28" s="18">
        <v>4.0</v>
      </c>
      <c r="C28" s="18">
        <v>25.0</v>
      </c>
      <c r="D28" s="19">
        <v>204.18</v>
      </c>
      <c r="E28" s="19">
        <v>51.045</v>
      </c>
      <c r="F28" s="19">
        <v>8.167200000000001</v>
      </c>
      <c r="G28" s="19">
        <v>20.0</v>
      </c>
      <c r="H28" s="19">
        <v>20.0</v>
      </c>
      <c r="I28" s="19">
        <v>22.0</v>
      </c>
    </row>
    <row r="29" ht="15.75" customHeight="1">
      <c r="G29" s="19"/>
      <c r="I29" s="19"/>
    </row>
    <row r="30" ht="15.75" customHeight="1">
      <c r="G30" s="19"/>
      <c r="I30" s="19"/>
    </row>
    <row r="31" ht="15.75" customHeight="1">
      <c r="G31" s="19"/>
      <c r="I31" s="19"/>
    </row>
    <row r="32" ht="15.75" customHeight="1">
      <c r="G32" s="19"/>
      <c r="I32" s="19"/>
    </row>
    <row r="33" ht="15.75" customHeight="1">
      <c r="G33" s="19"/>
      <c r="I33" s="19"/>
    </row>
    <row r="34" ht="15.75" customHeight="1">
      <c r="G34" s="19"/>
      <c r="I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0.57"/>
    <col customWidth="1" min="3" max="3" width="9.57"/>
    <col customWidth="1" min="4" max="4" width="24.0"/>
    <col customWidth="1" min="5" max="5" width="22.86"/>
    <col customWidth="1" min="6" max="6" width="24.57"/>
    <col customWidth="1" min="7" max="7" width="8.71"/>
    <col customWidth="1" min="8" max="8" width="24.14"/>
    <col customWidth="1" min="9" max="26" width="8.71"/>
  </cols>
  <sheetData>
    <row r="1">
      <c r="B1" s="18" t="s">
        <v>200</v>
      </c>
      <c r="C1" s="18" t="s">
        <v>3</v>
      </c>
    </row>
    <row r="2">
      <c r="A2" s="42" t="s">
        <v>67</v>
      </c>
      <c r="B2" s="42" t="s">
        <v>3</v>
      </c>
      <c r="C2" s="43">
        <f>SUM(C3:C4)</f>
        <v>10.62</v>
      </c>
    </row>
    <row r="3">
      <c r="A3" s="42" t="s">
        <v>143</v>
      </c>
      <c r="B3" s="44">
        <v>130.0</v>
      </c>
      <c r="C3" s="45">
        <f>VLOOKUP(A3,Insumos!A:E,5,FALSE)*B3</f>
        <v>3.9</v>
      </c>
    </row>
    <row r="4">
      <c r="A4" s="42" t="s">
        <v>145</v>
      </c>
      <c r="B4" s="42">
        <v>80.0</v>
      </c>
      <c r="C4" s="45">
        <f>VLOOKUP(A4,Insumos!A:E,5,FALSE)*B4</f>
        <v>6.72</v>
      </c>
    </row>
    <row r="5">
      <c r="A5" s="42" t="s">
        <v>146</v>
      </c>
      <c r="B5" s="42">
        <v>30.0</v>
      </c>
      <c r="C5" s="45">
        <f>VLOOKUP(A5,Insumos!A:E,5,FALSE)*B5</f>
        <v>1.2978</v>
      </c>
    </row>
    <row r="7">
      <c r="A7" s="42" t="s">
        <v>68</v>
      </c>
      <c r="B7" s="42" t="s">
        <v>3</v>
      </c>
      <c r="C7" s="43">
        <f>SUM(C8:C9)</f>
        <v>7.0956</v>
      </c>
    </row>
    <row r="8">
      <c r="A8" s="42" t="s">
        <v>144</v>
      </c>
      <c r="B8" s="42">
        <v>150.0</v>
      </c>
      <c r="C8" s="45">
        <f>VLOOKUP(A8,Insumos!A:E,5,FALSE)*B8</f>
        <v>4.5</v>
      </c>
    </row>
    <row r="9">
      <c r="A9" s="42" t="s">
        <v>146</v>
      </c>
      <c r="B9" s="42">
        <v>60.0</v>
      </c>
      <c r="C9" s="45">
        <f>VLOOKUP(A9,Insumos!A:E,5,FALSE)*B9</f>
        <v>2.5956</v>
      </c>
    </row>
    <row r="10" ht="16.5" customHeight="1"/>
    <row r="11">
      <c r="A11" s="46" t="s">
        <v>69</v>
      </c>
      <c r="B11" s="42" t="s">
        <v>3</v>
      </c>
      <c r="C11" s="43">
        <f>SUM(C12:C13)</f>
        <v>13.22</v>
      </c>
    </row>
    <row r="12">
      <c r="A12" s="42" t="s">
        <v>147</v>
      </c>
      <c r="B12" s="42">
        <v>1.0</v>
      </c>
      <c r="C12" s="45">
        <f>VLOOKUP(A12,Insumos!A:E,5,FALSE)*B12</f>
        <v>6.5</v>
      </c>
    </row>
    <row r="13">
      <c r="A13" s="42" t="s">
        <v>145</v>
      </c>
      <c r="B13" s="42">
        <v>80.0</v>
      </c>
      <c r="C13" s="45">
        <f>VLOOKUP(A13,Insumos!A:E,5,FALSE)*B13</f>
        <v>6.72</v>
      </c>
    </row>
    <row r="14">
      <c r="A14" s="42" t="s">
        <v>146</v>
      </c>
      <c r="B14" s="42">
        <v>30.0</v>
      </c>
      <c r="C14" s="45">
        <f>VLOOKUP(A14,Insumos!A:E,5,FALSE)*B14</f>
        <v>1.2978</v>
      </c>
    </row>
    <row r="15" ht="16.5" customHeight="1"/>
    <row r="16">
      <c r="A16" s="46" t="s">
        <v>70</v>
      </c>
      <c r="B16" s="42" t="s">
        <v>3</v>
      </c>
      <c r="C16" s="43">
        <f>SUM(C17:C18)</f>
        <v>14.7378</v>
      </c>
    </row>
    <row r="17">
      <c r="A17" s="42" t="s">
        <v>145</v>
      </c>
      <c r="B17" s="42">
        <v>160.0</v>
      </c>
      <c r="C17" s="45">
        <f>VLOOKUP(A17,Insumos!A:E,5,FALSE)*B17</f>
        <v>13.44</v>
      </c>
    </row>
    <row r="18">
      <c r="A18" s="42" t="s">
        <v>146</v>
      </c>
      <c r="B18" s="42">
        <v>30.0</v>
      </c>
      <c r="C18" s="45">
        <f>VLOOKUP(A18,Insumos!A:E,5,FALSE)*B18</f>
        <v>1.2978</v>
      </c>
    </row>
    <row r="20" ht="15.75" customHeight="1">
      <c r="A20" s="42" t="s">
        <v>26</v>
      </c>
      <c r="B20" s="42" t="s">
        <v>3</v>
      </c>
      <c r="C20" s="43">
        <f>SUM(C21:C22)</f>
        <v>4.76</v>
      </c>
    </row>
    <row r="21" ht="15.75" customHeight="1">
      <c r="A21" s="42" t="s">
        <v>143</v>
      </c>
      <c r="B21" s="44">
        <v>130.0</v>
      </c>
      <c r="C21" s="45">
        <f>VLOOKUP(A21,Insumos!A:E,5,FALSE)*B21</f>
        <v>3.9</v>
      </c>
    </row>
    <row r="22" ht="15.75" customHeight="1">
      <c r="A22" s="42" t="s">
        <v>108</v>
      </c>
      <c r="B22" s="42">
        <v>1.0</v>
      </c>
      <c r="C22" s="45">
        <f>VLOOKUP(A22,Insumos!A:E,5,FALSE)*B22</f>
        <v>0.86</v>
      </c>
    </row>
    <row r="23" ht="15.75" customHeight="1"/>
    <row r="24" ht="15.75" customHeight="1"/>
    <row r="25" ht="16.5" customHeight="1"/>
    <row r="26" ht="16.5" customHeight="1">
      <c r="A26" s="46" t="s">
        <v>53</v>
      </c>
      <c r="B26" s="42" t="s">
        <v>3</v>
      </c>
      <c r="C26" s="43">
        <v>6.5</v>
      </c>
    </row>
    <row r="27" ht="15.75" customHeight="1">
      <c r="A27" s="46" t="s">
        <v>71</v>
      </c>
      <c r="B27" s="42" t="s">
        <v>3</v>
      </c>
      <c r="C27" s="47">
        <v>6.5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2.43"/>
    <col customWidth="1" min="3" max="3" width="24.0"/>
    <col customWidth="1" min="4" max="4" width="22.86"/>
    <col customWidth="1" min="5" max="5" width="8.71"/>
    <col customWidth="1" min="6" max="6" width="15.57"/>
    <col customWidth="1" min="7" max="7" width="8.71"/>
    <col customWidth="1" min="8" max="8" width="24.14"/>
    <col customWidth="1" min="9" max="26" width="8.71"/>
  </cols>
  <sheetData>
    <row r="1">
      <c r="A1" s="48" t="s">
        <v>201</v>
      </c>
      <c r="B1" s="48" t="s">
        <v>202</v>
      </c>
      <c r="C1" s="48" t="s">
        <v>203</v>
      </c>
      <c r="D1" s="48" t="s">
        <v>204</v>
      </c>
      <c r="E1" s="48" t="s">
        <v>205</v>
      </c>
      <c r="F1" s="48" t="s">
        <v>206</v>
      </c>
      <c r="G1" s="48" t="s">
        <v>207</v>
      </c>
      <c r="H1" s="48" t="s">
        <v>208</v>
      </c>
    </row>
    <row r="2">
      <c r="A2" s="49" t="s">
        <v>209</v>
      </c>
      <c r="B2" s="50" t="s">
        <v>3</v>
      </c>
      <c r="C2" s="49" t="s">
        <v>210</v>
      </c>
      <c r="D2" s="49" t="s">
        <v>211</v>
      </c>
      <c r="E2" s="49" t="s">
        <v>212</v>
      </c>
      <c r="F2" s="49"/>
    </row>
    <row r="3">
      <c r="A3" s="51" t="s">
        <v>73</v>
      </c>
      <c r="B3" s="52">
        <f>SUM(B4:B5)</f>
        <v>7.886018151</v>
      </c>
      <c r="C3" s="18">
        <v>35.5</v>
      </c>
      <c r="F3" s="18">
        <v>35.5</v>
      </c>
    </row>
    <row r="4">
      <c r="A4" s="42" t="s">
        <v>13</v>
      </c>
      <c r="B4" s="53">
        <f>IFERROR(VLOOKUP(A4, Lanches!$A:$C, 3, FALSE),  IFERROR(VLOOKUP(A4, 'Porções'!$A:$C, 3, FALSE),     IFERROR(VLOOKUP(A4, Bebidas!$A:$F, 6, FALSE), "")))</f>
        <v>3.272307692</v>
      </c>
    </row>
    <row r="5">
      <c r="A5" s="33" t="s">
        <v>18</v>
      </c>
      <c r="B5" s="53">
        <f>IFERROR(VLOOKUP(A5, Lanches!$A:$C, 3, FALSE),  IFERROR(VLOOKUP(A5, 'Porções'!$A:$C, 3, FALSE),     IFERROR(VLOOKUP(A5, Bebidas!$A:$F, 6, FALSE), "")))</f>
        <v>4.613710459</v>
      </c>
    </row>
    <row r="6">
      <c r="A6" s="42" t="s">
        <v>58</v>
      </c>
      <c r="B6" s="53">
        <f>IFERROR(VLOOKUP(A6, Lanches!$A:$C, 3, FALSE),  IFERROR(VLOOKUP(A6, 'Porções'!$A:$C, 3, FALSE),     IFERROR(VLOOKUP(A6, Bebidas!$A:$F, 6, FALSE), "")))</f>
        <v>1.2525</v>
      </c>
    </row>
    <row r="7">
      <c r="B7" s="19"/>
    </row>
    <row r="8">
      <c r="A8" s="42" t="s">
        <v>74</v>
      </c>
      <c r="B8" s="52">
        <f>SUM(B9:B10)</f>
        <v>8.187414204</v>
      </c>
      <c r="C8" s="18">
        <v>57.0</v>
      </c>
      <c r="F8" s="18">
        <v>57.0</v>
      </c>
    </row>
    <row r="9">
      <c r="A9" s="33" t="s">
        <v>11</v>
      </c>
      <c r="B9" s="53">
        <f>IFERROR(VLOOKUP(A9, Lanches!$A:$C, 3, FALSE),  IFERROR(VLOOKUP(A9, 'Porções'!$A:$C, 3, FALSE),     IFERROR(VLOOKUP(A9, Bebidas!$A:$F, 6, FALSE), "")))</f>
        <v>4.915106512</v>
      </c>
    </row>
    <row r="10">
      <c r="A10" s="42" t="s">
        <v>13</v>
      </c>
      <c r="B10" s="53">
        <f>IFERROR(VLOOKUP(A10, Lanches!$A:$C, 3, FALSE),  IFERROR(VLOOKUP(A10, 'Porções'!$A:$C, 3, FALSE),     IFERROR(VLOOKUP(A10, Bebidas!$A:$F, 6, FALSE), "")))</f>
        <v>3.272307692</v>
      </c>
    </row>
    <row r="11">
      <c r="A11" s="42" t="s">
        <v>45</v>
      </c>
      <c r="B11" s="53">
        <f>IFERROR(VLOOKUP(A11, Lanches!$A:$C, 3, FALSE),  IFERROR(VLOOKUP(A11, 'Porções'!$A:$C, 3, FALSE),     IFERROR(VLOOKUP(A11, Bebidas!$A:$F, 6, FALSE), "")))</f>
        <v>2.55375</v>
      </c>
    </row>
    <row r="12">
      <c r="B12" s="19"/>
    </row>
    <row r="13">
      <c r="A13" s="42" t="s">
        <v>75</v>
      </c>
      <c r="B13" s="52">
        <f>SUM(B14:B15)</f>
        <v>20.33973856</v>
      </c>
    </row>
    <row r="14">
      <c r="A14" s="33" t="s">
        <v>32</v>
      </c>
      <c r="B14" s="53">
        <f>IFERROR(VLOOKUP(A14, Lanches!$A:$C, 3, FALSE),  IFERROR(VLOOKUP(A14, 'Porções'!$A:$C, 3, FALSE),     IFERROR(VLOOKUP(A14, Bebidas!$A:$F, 6, FALSE), "")))</f>
        <v>17.06743086</v>
      </c>
    </row>
    <row r="15">
      <c r="A15" s="42" t="s">
        <v>13</v>
      </c>
      <c r="B15" s="53">
        <f>IFERROR(VLOOKUP(A15, Lanches!$A:$C, 3, FALSE),  IFERROR(VLOOKUP(A15, 'Porções'!$A:$C, 3, FALSE),     IFERROR(VLOOKUP(A15, Bebidas!$A:$F, 6, FALSE), "")))</f>
        <v>3.272307692</v>
      </c>
    </row>
    <row r="16">
      <c r="A16" s="42" t="s">
        <v>45</v>
      </c>
      <c r="B16" s="53">
        <f>IFERROR(VLOOKUP(A16, Lanches!$A:$C, 3, FALSE),  IFERROR(VLOOKUP(A16, 'Porções'!$A:$C, 3, FALSE),     IFERROR(VLOOKUP(A16, Bebidas!$A:$F, 6, FALSE), "")))</f>
        <v>2.55375</v>
      </c>
    </row>
    <row r="17">
      <c r="B17" s="19"/>
    </row>
    <row r="18">
      <c r="A18" s="42" t="s">
        <v>76</v>
      </c>
      <c r="B18" s="52">
        <f>SUM(B19:B20)</f>
        <v>15.15492891</v>
      </c>
      <c r="C18" s="18">
        <v>65.0</v>
      </c>
      <c r="F18" s="18">
        <v>65.0</v>
      </c>
    </row>
    <row r="19">
      <c r="A19" s="33" t="s">
        <v>29</v>
      </c>
      <c r="B19" s="53">
        <f>IFERROR(VLOOKUP(A19, Lanches!$A:$C, 3, FALSE),  IFERROR(VLOOKUP(A19, 'Porções'!$A:$C, 3, FALSE),     IFERROR(VLOOKUP(A19, Bebidas!$A:$F, 6, FALSE), "")))</f>
        <v>11.88262121</v>
      </c>
      <c r="I19" s="18">
        <f>29.9-13+65</f>
        <v>81.9</v>
      </c>
    </row>
    <row r="20">
      <c r="A20" s="42" t="s">
        <v>13</v>
      </c>
      <c r="B20" s="53">
        <f>IFERROR(VLOOKUP(A20, Lanches!$A:$C, 3, FALSE),  IFERROR(VLOOKUP(A20, 'Porções'!$A:$C, 3, FALSE),     IFERROR(VLOOKUP(A20, Bebidas!$A:$F, 6, FALSE), "")))</f>
        <v>3.272307692</v>
      </c>
    </row>
    <row r="21" ht="15.75" customHeight="1">
      <c r="A21" s="42" t="s">
        <v>45</v>
      </c>
      <c r="B21" s="53">
        <f>IFERROR(VLOOKUP(A21, Lanches!$A:$C, 3, FALSE),  IFERROR(VLOOKUP(A21, 'Porções'!$A:$C, 3, FALSE),     IFERROR(VLOOKUP(A21, Bebidas!$A:$F, 6, FALSE), "")))</f>
        <v>2.55375</v>
      </c>
    </row>
    <row r="22" ht="15.75" customHeight="1">
      <c r="B22" s="19"/>
    </row>
    <row r="23" ht="15.75" customHeight="1">
      <c r="A23" s="42" t="s">
        <v>77</v>
      </c>
      <c r="B23" s="52">
        <f>SUM(B24:B25)</f>
        <v>14.66936356</v>
      </c>
      <c r="C23" s="18">
        <v>61.0</v>
      </c>
      <c r="F23" s="18">
        <v>61.0</v>
      </c>
    </row>
    <row r="24" ht="15.75" customHeight="1">
      <c r="A24" s="33" t="s">
        <v>19</v>
      </c>
      <c r="B24" s="53">
        <f>IFERROR(VLOOKUP(A24, Lanches!$A:$C, 3, FALSE),  IFERROR(VLOOKUP(A24, 'Porções'!$A:$C, 3, FALSE),     IFERROR(VLOOKUP(A24, Bebidas!$A:$F, 6, FALSE), "")))</f>
        <v>11.39705586</v>
      </c>
    </row>
    <row r="25" ht="15.75" customHeight="1">
      <c r="A25" s="42" t="s">
        <v>13</v>
      </c>
      <c r="B25" s="53">
        <f>IFERROR(VLOOKUP(A25, Lanches!$A:$C, 3, FALSE),  IFERROR(VLOOKUP(A25, 'Porções'!$A:$C, 3, FALSE),     IFERROR(VLOOKUP(A25, Bebidas!$A:$F, 6, FALSE), "")))</f>
        <v>3.272307692</v>
      </c>
    </row>
    <row r="26" ht="15.75" customHeight="1">
      <c r="A26" s="42" t="s">
        <v>45</v>
      </c>
      <c r="B26" s="53">
        <f>IFERROR(VLOOKUP(A26, Lanches!$A:$C, 3, FALSE),  IFERROR(VLOOKUP(A26, 'Porções'!$A:$C, 3, FALSE),     IFERROR(VLOOKUP(A26, Bebidas!$A:$F, 6, FALSE), "")))</f>
        <v>2.55375</v>
      </c>
    </row>
    <row r="27" ht="15.75" customHeight="1">
      <c r="B27" s="19"/>
    </row>
    <row r="28" ht="15.75" customHeight="1">
      <c r="A28" s="42" t="s">
        <v>78</v>
      </c>
      <c r="B28" s="52">
        <f>SUM(B29:B30)</f>
        <v>14.32498356</v>
      </c>
      <c r="C28" s="18">
        <v>60.0</v>
      </c>
      <c r="F28" s="18">
        <v>60.0</v>
      </c>
    </row>
    <row r="29" ht="15.75" customHeight="1">
      <c r="A29" s="33" t="s">
        <v>34</v>
      </c>
      <c r="B29" s="53">
        <f>IFERROR(VLOOKUP(A29, Lanches!$A:$C, 3, FALSE),  IFERROR(VLOOKUP(A29, 'Porções'!$A:$C, 3, FALSE),     IFERROR(VLOOKUP(A29, Bebidas!$A:$F, 6, FALSE), "")))</f>
        <v>11.05267586</v>
      </c>
    </row>
    <row r="30" ht="15.75" customHeight="1">
      <c r="A30" s="42" t="s">
        <v>13</v>
      </c>
      <c r="B30" s="53">
        <f>IFERROR(VLOOKUP(A30, Lanches!$A:$C, 3, FALSE),  IFERROR(VLOOKUP(A30, 'Porções'!$A:$C, 3, FALSE),     IFERROR(VLOOKUP(A30, Bebidas!$A:$F, 6, FALSE), "")))</f>
        <v>3.272307692</v>
      </c>
    </row>
    <row r="31" ht="15.75" customHeight="1">
      <c r="A31" s="42" t="s">
        <v>45</v>
      </c>
      <c r="B31" s="53">
        <f>IFERROR(VLOOKUP(A31, Lanches!$A:$C, 3, FALSE),  IFERROR(VLOOKUP(A31, 'Porções'!$A:$C, 3, FALSE),     IFERROR(VLOOKUP(A31, Bebidas!$A:$F, 6, FALSE), "")))</f>
        <v>2.55375</v>
      </c>
    </row>
    <row r="32" ht="15.75" customHeight="1">
      <c r="B32" s="19"/>
    </row>
    <row r="33" ht="15.75" customHeight="1">
      <c r="A33" s="42" t="s">
        <v>79</v>
      </c>
      <c r="B33" s="52">
        <f>SUM(B34:B35)</f>
        <v>11.41957815</v>
      </c>
    </row>
    <row r="34" ht="15.75" customHeight="1">
      <c r="A34" s="33" t="s">
        <v>39</v>
      </c>
      <c r="B34" s="53">
        <f>IFERROR(VLOOKUP(A34, Lanches!$A:$C, 3, FALSE),  IFERROR(VLOOKUP(A34, 'Porções'!$A:$C, 3, FALSE),     IFERROR(VLOOKUP(A34, Bebidas!$A:$F, 6, FALSE), "")))</f>
        <v>8.147270459</v>
      </c>
    </row>
    <row r="35" ht="15.75" customHeight="1">
      <c r="A35" s="42" t="s">
        <v>13</v>
      </c>
      <c r="B35" s="53">
        <f>IFERROR(VLOOKUP(A35, Lanches!$A:$C, 3, FALSE),  IFERROR(VLOOKUP(A35, 'Porções'!$A:$C, 3, FALSE),     IFERROR(VLOOKUP(A35, Bebidas!$A:$F, 6, FALSE), "")))</f>
        <v>3.272307692</v>
      </c>
    </row>
    <row r="36" ht="15.75" customHeight="1">
      <c r="A36" s="42" t="s">
        <v>45</v>
      </c>
      <c r="B36" s="53">
        <f>IFERROR(VLOOKUP(A36, Lanches!$A:$C, 3, FALSE),  IFERROR(VLOOKUP(A36, 'Porções'!$A:$C, 3, FALSE),     IFERROR(VLOOKUP(A36, Bebidas!$A:$F, 6, FALSE), "")))</f>
        <v>2.55375</v>
      </c>
    </row>
    <row r="37" ht="15.75" customHeight="1">
      <c r="B37" s="19"/>
    </row>
    <row r="38" ht="15.75" customHeight="1">
      <c r="A38" s="42" t="s">
        <v>80</v>
      </c>
      <c r="B38" s="52">
        <f>SUM(B39:B40)</f>
        <v>15.79754356</v>
      </c>
      <c r="C38" s="18">
        <v>61.0</v>
      </c>
      <c r="F38" s="18">
        <v>61.0</v>
      </c>
    </row>
    <row r="39" ht="15.75" customHeight="1">
      <c r="A39" s="33" t="s">
        <v>37</v>
      </c>
      <c r="B39" s="53">
        <f>IFERROR(VLOOKUP(A39, Lanches!$A:$C, 3, FALSE),  IFERROR(VLOOKUP(A39, 'Porções'!$A:$C, 3, FALSE),     IFERROR(VLOOKUP(A39, Bebidas!$A:$F, 6, FALSE), "")))</f>
        <v>12.52523586</v>
      </c>
    </row>
    <row r="40" ht="15.75" customHeight="1">
      <c r="A40" s="42" t="s">
        <v>13</v>
      </c>
      <c r="B40" s="53">
        <f>IFERROR(VLOOKUP(A40, Lanches!$A:$C, 3, FALSE),  IFERROR(VLOOKUP(A40, 'Porções'!$A:$C, 3, FALSE),     IFERROR(VLOOKUP(A40, Bebidas!$A:$F, 6, FALSE), "")))</f>
        <v>3.272307692</v>
      </c>
    </row>
    <row r="41" ht="15.75" customHeight="1">
      <c r="A41" s="42" t="s">
        <v>45</v>
      </c>
      <c r="B41" s="53">
        <f>IFERROR(VLOOKUP(A41, Lanches!$A:$C, 3, FALSE),  IFERROR(VLOOKUP(A41, 'Porções'!$A:$C, 3, FALSE),     IFERROR(VLOOKUP(A41, Bebidas!$A:$F, 6, FALSE), "")))</f>
        <v>2.55375</v>
      </c>
    </row>
    <row r="42" ht="15.75" customHeight="1">
      <c r="B42" s="19"/>
    </row>
    <row r="43" ht="15.75" customHeight="1">
      <c r="A43" s="42" t="s">
        <v>81</v>
      </c>
      <c r="B43" s="52">
        <f>SUM(B44:B45)</f>
        <v>15.2493938</v>
      </c>
      <c r="C43" s="18">
        <v>65.0</v>
      </c>
      <c r="F43" s="18">
        <v>65.0</v>
      </c>
    </row>
    <row r="44" ht="15.75" customHeight="1">
      <c r="A44" s="33" t="s">
        <v>56</v>
      </c>
      <c r="B44" s="53">
        <f>IFERROR(VLOOKUP(A44, Lanches!$A:$C, 3, FALSE),  IFERROR(VLOOKUP(A44, 'Porções'!$A:$C, 3, FALSE),     IFERROR(VLOOKUP(A44, Bebidas!$A:$F, 6, FALSE), "")))</f>
        <v>11.97708611</v>
      </c>
    </row>
    <row r="45" ht="15.75" customHeight="1">
      <c r="A45" s="42" t="s">
        <v>13</v>
      </c>
      <c r="B45" s="53">
        <f>IFERROR(VLOOKUP(A45, Lanches!$A:$C, 3, FALSE),  IFERROR(VLOOKUP(A45, 'Porções'!$A:$C, 3, FALSE),     IFERROR(VLOOKUP(A45, Bebidas!$A:$F, 6, FALSE), "")))</f>
        <v>3.272307692</v>
      </c>
    </row>
    <row r="46" ht="15.75" customHeight="1">
      <c r="A46" s="42" t="s">
        <v>45</v>
      </c>
      <c r="B46" s="53">
        <f>IFERROR(VLOOKUP(A46, Lanches!$A:$C, 3, FALSE),  IFERROR(VLOOKUP(A46, 'Porções'!$A:$C, 3, FALSE),     IFERROR(VLOOKUP(A46, Bebidas!$A:$F, 6, FALSE), "")))</f>
        <v>2.55375</v>
      </c>
    </row>
    <row r="47" ht="15.75" customHeight="1">
      <c r="B47" s="19"/>
    </row>
    <row r="48" ht="15.75" customHeight="1">
      <c r="A48" s="42" t="s">
        <v>82</v>
      </c>
      <c r="B48" s="52">
        <f>SUM(B49:B50)</f>
        <v>12.21757769</v>
      </c>
      <c r="C48" s="18">
        <v>65.0</v>
      </c>
      <c r="F48" s="18">
        <v>65.0</v>
      </c>
    </row>
    <row r="49" ht="15.75" customHeight="1">
      <c r="A49" s="33" t="s">
        <v>15</v>
      </c>
      <c r="B49" s="53">
        <f>IFERROR(VLOOKUP(A49, Lanches!$A:$C, 3, FALSE),  IFERROR(VLOOKUP(A49, 'Porções'!$A:$C, 3, FALSE),     IFERROR(VLOOKUP(A49, Bebidas!$A:$F, 6, FALSE), "")))</f>
        <v>8.94527</v>
      </c>
    </row>
    <row r="50" ht="15.75" customHeight="1">
      <c r="A50" s="42" t="s">
        <v>13</v>
      </c>
      <c r="B50" s="53">
        <f>IFERROR(VLOOKUP(A50, Lanches!$A:$C, 3, FALSE),  IFERROR(VLOOKUP(A50, 'Porções'!$A:$C, 3, FALSE),     IFERROR(VLOOKUP(A50, Bebidas!$A:$F, 6, FALSE), "")))</f>
        <v>3.272307692</v>
      </c>
    </row>
    <row r="51" ht="15.75" customHeight="1">
      <c r="A51" s="42" t="s">
        <v>45</v>
      </c>
      <c r="B51" s="53">
        <f>IFERROR(VLOOKUP(A51, Lanches!$A:$C, 3, FALSE),  IFERROR(VLOOKUP(A51, 'Porções'!$A:$C, 3, FALSE),     IFERROR(VLOOKUP(A51, Bebidas!$A:$F, 6, FALSE), "")))</f>
        <v>2.55375</v>
      </c>
    </row>
    <row r="52" ht="15.75" customHeight="1">
      <c r="B52" s="19"/>
    </row>
    <row r="53" ht="15.75" customHeight="1">
      <c r="A53" s="15" t="s">
        <v>213</v>
      </c>
      <c r="B53" s="52">
        <f>SUM(B54:B55)</f>
        <v>19.99794586</v>
      </c>
      <c r="C53" s="15">
        <v>52.99</v>
      </c>
    </row>
    <row r="54" ht="15.75" customHeight="1">
      <c r="A54" s="33" t="s">
        <v>15</v>
      </c>
      <c r="B54" s="53">
        <f>IFERROR(VLOOKUP(A54, Lanches!$A:$C, 3, FALSE),  IFERROR(VLOOKUP(A54, 'Porções'!$A:$C, 3, FALSE),     IFERROR(VLOOKUP(A54, Bebidas!$A:$F, 6, FALSE), "")))</f>
        <v>8.94527</v>
      </c>
    </row>
    <row r="55" ht="15.75" customHeight="1">
      <c r="A55" s="33" t="s">
        <v>34</v>
      </c>
      <c r="B55" s="53">
        <f>IFERROR(VLOOKUP(A55, Lanches!$A:$C, 3, FALSE),  IFERROR(VLOOKUP(A55, 'Porções'!$A:$C, 3, FALSE),     IFERROR(VLOOKUP(A55, Bebidas!$A:$F, 6, FALSE), "")))</f>
        <v>11.05267586</v>
      </c>
    </row>
    <row r="56" ht="15.75" customHeight="1">
      <c r="B56" s="19"/>
    </row>
    <row r="57" ht="15.75" customHeight="1">
      <c r="A57" s="15" t="s">
        <v>214</v>
      </c>
      <c r="B57" s="52">
        <f>SUM(B58:B59)</f>
        <v>16.01076632</v>
      </c>
      <c r="C57" s="15">
        <v>48.99</v>
      </c>
    </row>
    <row r="58" ht="15.75" customHeight="1">
      <c r="A58" s="54" t="s">
        <v>18</v>
      </c>
      <c r="B58" s="55">
        <f>IFERROR(VLOOKUP(A58, Lanches!$A:$C, 3, FALSE),  IFERROR(VLOOKUP(A58, 'Porções'!$A:$C, 3, FALSE),     IFERROR(VLOOKUP(A58, Bebidas!$A:$F, 6, FALSE), "")))</f>
        <v>4.613710459</v>
      </c>
    </row>
    <row r="59" ht="15.75" customHeight="1">
      <c r="A59" s="54" t="s">
        <v>19</v>
      </c>
      <c r="B59" s="55">
        <f>IFERROR(VLOOKUP(A59, Lanches!$A:$C, 3, FALSE),  IFERROR(VLOOKUP(A59, 'Porções'!$A:$C, 3, FALSE),     IFERROR(VLOOKUP(A59, Bebidas!$A:$F, 6, FALSE), "")))</f>
        <v>11.39705586</v>
      </c>
    </row>
    <row r="60" ht="15.75" customHeight="1">
      <c r="B60" s="19"/>
    </row>
    <row r="61" ht="15.75" customHeight="1">
      <c r="A61" s="15" t="s">
        <v>215</v>
      </c>
      <c r="B61" s="52">
        <f>SUM(B62:B63)</f>
        <v>19.09385657</v>
      </c>
      <c r="C61" s="15">
        <v>55.99</v>
      </c>
    </row>
    <row r="62" ht="15.75" customHeight="1">
      <c r="A62" s="54" t="s">
        <v>28</v>
      </c>
      <c r="B62" s="55">
        <f>IFERROR(VLOOKUP(A62, Lanches!$A:$C, 3, FALSE),  IFERROR(VLOOKUP(A62, 'Porções'!$A:$C, 3, FALSE),     IFERROR(VLOOKUP(A62, Bebidas!$A:$F, 6, FALSE), "")))</f>
        <v>7.116770459</v>
      </c>
    </row>
    <row r="63" ht="15.75" customHeight="1">
      <c r="A63" s="54" t="s">
        <v>56</v>
      </c>
      <c r="B63" s="55">
        <f>IFERROR(VLOOKUP(A63, Lanches!$A:$C, 3, FALSE),  IFERROR(VLOOKUP(A63, 'Porções'!$A:$C, 3, FALSE),     IFERROR(VLOOKUP(A63, Bebidas!$A:$F, 6, FALSE), "")))</f>
        <v>11.97708611</v>
      </c>
    </row>
    <row r="64" ht="15.75" customHeight="1">
      <c r="B64" s="19"/>
    </row>
    <row r="65" ht="15.75" customHeight="1">
      <c r="A65" s="15" t="s">
        <v>216</v>
      </c>
      <c r="B65" s="52">
        <f>SUM(B66:B68)</f>
        <v>35.25676319</v>
      </c>
      <c r="C65" s="15">
        <v>91.99</v>
      </c>
    </row>
    <row r="66" ht="15.75" customHeight="1">
      <c r="A66" s="54" t="s">
        <v>29</v>
      </c>
      <c r="B66" s="55">
        <f>IFERROR(VLOOKUP(A66, Lanches!$A:$C, 3, FALSE),  IFERROR(VLOOKUP(A66, 'Porções'!$A:$C, 3, FALSE),     IFERROR(VLOOKUP(A66, Bebidas!$A:$F, 6, FALSE), "")))</f>
        <v>11.88262121</v>
      </c>
    </row>
    <row r="67" ht="15.75" customHeight="1">
      <c r="A67" s="54" t="s">
        <v>56</v>
      </c>
      <c r="B67" s="55">
        <f>IFERROR(VLOOKUP(A67, Lanches!$A:$C, 3, FALSE),  IFERROR(VLOOKUP(A67, 'Porções'!$A:$C, 3, FALSE),     IFERROR(VLOOKUP(A67, Bebidas!$A:$F, 6, FALSE), "")))</f>
        <v>11.97708611</v>
      </c>
    </row>
    <row r="68" ht="15.75" customHeight="1">
      <c r="A68" s="54" t="s">
        <v>19</v>
      </c>
      <c r="B68" s="55">
        <f>IFERROR(VLOOKUP(A68, Lanches!$A:$C, 3, FALSE),  IFERROR(VLOOKUP(A68, 'Porções'!$A:$C, 3, FALSE),     IFERROR(VLOOKUP(A68, Bebidas!$A:$F, 6, FALSE), "")))</f>
        <v>11.39705586</v>
      </c>
    </row>
    <row r="69" ht="15.75" customHeight="1">
      <c r="B69" s="19"/>
    </row>
    <row r="70" ht="15.75" customHeight="1">
      <c r="B70" s="19"/>
    </row>
    <row r="71" ht="15.75" customHeight="1">
      <c r="B71" s="19"/>
    </row>
    <row r="72" ht="15.75" customHeight="1">
      <c r="B72" s="19"/>
    </row>
    <row r="73" ht="15.75" customHeight="1">
      <c r="B73" s="19"/>
    </row>
    <row r="74" ht="15.75" customHeight="1">
      <c r="B74" s="19"/>
    </row>
    <row r="75" ht="15.75" customHeight="1">
      <c r="B75" s="19"/>
    </row>
    <row r="76" ht="15.75" customHeight="1">
      <c r="B76" s="19"/>
    </row>
    <row r="77" ht="15.75" customHeight="1">
      <c r="B77" s="19"/>
    </row>
    <row r="78" ht="15.75" customHeight="1">
      <c r="B78" s="19"/>
    </row>
    <row r="79" ht="15.75" customHeight="1">
      <c r="B79" s="19"/>
    </row>
    <row r="80" ht="15.75" customHeight="1">
      <c r="B80" s="19"/>
    </row>
    <row r="81" ht="15.75" customHeight="1">
      <c r="B81" s="19"/>
    </row>
    <row r="82" ht="15.75" customHeight="1">
      <c r="B82" s="19"/>
    </row>
    <row r="83" ht="15.75" customHeight="1">
      <c r="B83" s="19"/>
    </row>
    <row r="84" ht="15.75" customHeight="1">
      <c r="B84" s="19"/>
    </row>
    <row r="85" ht="15.75" customHeight="1">
      <c r="B85" s="19"/>
    </row>
    <row r="86" ht="15.75" customHeight="1">
      <c r="B86" s="19"/>
    </row>
    <row r="87" ht="15.75" customHeight="1">
      <c r="B87" s="19"/>
    </row>
    <row r="88" ht="15.75" customHeight="1">
      <c r="B88" s="19"/>
    </row>
    <row r="89" ht="15.75" customHeight="1">
      <c r="B89" s="19"/>
    </row>
    <row r="90" ht="15.75" customHeight="1">
      <c r="B90" s="19"/>
    </row>
    <row r="91" ht="15.75" customHeight="1">
      <c r="B91" s="19"/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</sheetData>
  <hyperlinks>
    <hyperlink r:id="rId1" location="Insumos!A1" ref="A1"/>
    <hyperlink r:id="rId2" location="Preparos!A1" ref="B1"/>
    <hyperlink r:id="rId3" location="Lanches!A1" ref="C1"/>
    <hyperlink r:id="rId4" location="Porções!A1" ref="D1"/>
    <hyperlink r:id="rId5" location="Bebidas!A1" ref="E1"/>
    <hyperlink r:id="rId6" location="Sobremesas!A1" ref="F1"/>
    <hyperlink r:id="rId7" location="Combos!A1" ref="G1"/>
    <hyperlink r:id="rId8" location="COMPARAÇÃO DE PREÇOS!A1" ref="H1"/>
  </hyperlinks>
  <printOptions/>
  <pageMargins bottom="0.787401575" footer="0.0" header="0.0" left="0.511811024" right="0.511811024" top="0.787401575"/>
  <pageSetup paperSize="9" orientation="portrait"/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41.0"/>
    <col customWidth="1" min="3" max="3" width="40.29"/>
    <col customWidth="1" min="4" max="4" width="38.29"/>
    <col customWidth="1" min="5" max="5" width="40.57"/>
    <col customWidth="1" min="6" max="6" width="19.29"/>
    <col customWidth="1" min="7" max="7" width="21.0"/>
    <col customWidth="1" min="8" max="8" width="24.14"/>
    <col customWidth="1" min="9" max="26" width="8.71"/>
  </cols>
  <sheetData>
    <row r="1" ht="20.25" customHeight="1">
      <c r="A1" s="48" t="s">
        <v>201</v>
      </c>
      <c r="B1" s="48" t="s">
        <v>202</v>
      </c>
      <c r="C1" s="48" t="s">
        <v>203</v>
      </c>
      <c r="D1" s="48" t="s">
        <v>204</v>
      </c>
      <c r="E1" s="48" t="s">
        <v>205</v>
      </c>
      <c r="F1" s="48" t="s">
        <v>206</v>
      </c>
      <c r="G1" s="48" t="s">
        <v>207</v>
      </c>
      <c r="H1" s="48" t="s">
        <v>208</v>
      </c>
    </row>
    <row r="2" ht="15.75" customHeight="1">
      <c r="A2" s="56"/>
      <c r="B2" s="57"/>
      <c r="C2" s="57"/>
      <c r="D2" s="57"/>
      <c r="E2" s="57"/>
      <c r="F2" s="15"/>
      <c r="G2" s="15"/>
      <c r="H2" s="15"/>
    </row>
    <row r="3" ht="15.75" customHeight="1">
      <c r="A3" s="58" t="s">
        <v>217</v>
      </c>
      <c r="B3" s="59" t="s">
        <v>218</v>
      </c>
      <c r="C3" s="59" t="s">
        <v>210</v>
      </c>
      <c r="D3" s="59" t="s">
        <v>211</v>
      </c>
      <c r="E3" s="59" t="s">
        <v>212</v>
      </c>
      <c r="F3" s="60" t="s">
        <v>219</v>
      </c>
      <c r="G3" s="60" t="s">
        <v>8</v>
      </c>
      <c r="H3" s="60" t="s">
        <v>9</v>
      </c>
    </row>
    <row r="4" ht="15.75" customHeight="1">
      <c r="A4" s="61" t="s">
        <v>18</v>
      </c>
      <c r="B4" s="62">
        <f>IFERROR(VLOOKUP(A4, Lanches!$A:$C, 3, FALSE),  IFERROR(VLOOKUP(A4, 'Porções'!$A:$C, 3, FALSE),     IFERROR(VLOOKUP(A4, Bebidas!$A:$F, 6, FALSE), IFERROR(VLOOKUP(A4, Sobremesas!$A:$F, 3, FALSE), IFERROR(VLOOKUP(A4, Combos!$A:$F, 2, FALSE), "")))))</f>
        <v>4.613710459</v>
      </c>
      <c r="C4" s="63">
        <v>23.0</v>
      </c>
      <c r="D4" s="63">
        <v>34.0</v>
      </c>
      <c r="E4" s="63">
        <v>23.0</v>
      </c>
      <c r="F4" s="64">
        <f t="shared" ref="F4:F8" si="1">IF(OR(B4="",C4=""),"",B4/C4)</f>
        <v>0.2005961069</v>
      </c>
      <c r="G4" s="64">
        <f t="shared" ref="G4:G15" si="2">IF(OR(B4="",D4=""),"",B4/D4)</f>
        <v>0.1356973664</v>
      </c>
      <c r="H4" s="64">
        <f t="shared" ref="H4:H15" si="3">IF(OR(B4="",E4=""),"",B4/E4)</f>
        <v>0.2005961069</v>
      </c>
      <c r="I4" s="19"/>
    </row>
    <row r="5" ht="15.75" customHeight="1">
      <c r="A5" s="65" t="s">
        <v>28</v>
      </c>
      <c r="B5" s="62">
        <f>IFERROR(VLOOKUP(A5, Lanches!$A:$C, 3, FALSE),  IFERROR(VLOOKUP(A5, 'Porções'!$A:$C, 3, FALSE),     IFERROR(VLOOKUP(A5, Bebidas!$A:$F, 6, FALSE), IFERROR(VLOOKUP(A5, Sobremesas!$A:$F, 3, FALSE), IFERROR(VLOOKUP(A5, Combos!$A:$F, 2, FALSE), "")))))</f>
        <v>7.116770459</v>
      </c>
      <c r="C5" s="63">
        <v>28.0</v>
      </c>
      <c r="D5" s="63">
        <v>39.0</v>
      </c>
      <c r="E5" s="63">
        <v>28.0</v>
      </c>
      <c r="F5" s="64">
        <f t="shared" si="1"/>
        <v>0.2541703735</v>
      </c>
      <c r="G5" s="64">
        <f t="shared" si="2"/>
        <v>0.1824812938</v>
      </c>
      <c r="H5" s="64">
        <f t="shared" si="3"/>
        <v>0.2541703735</v>
      </c>
    </row>
    <row r="6" ht="15.75" customHeight="1">
      <c r="A6" s="65" t="s">
        <v>33</v>
      </c>
      <c r="B6" s="62">
        <f>IFERROR(VLOOKUP(A6, Lanches!$A:$C, 3, FALSE),  IFERROR(VLOOKUP(A6, 'Porções'!$A:$C, 3, FALSE),     IFERROR(VLOOKUP(A6, Bebidas!$A:$F, 6, FALSE), IFERROR(VLOOKUP(A6, Sobremesas!$A:$F, 3, FALSE), IFERROR(VLOOKUP(A6, Combos!$A:$F, 2, FALSE), "")))))</f>
        <v>9.619830459</v>
      </c>
      <c r="C6" s="63">
        <v>33.0</v>
      </c>
      <c r="D6" s="63">
        <v>45.0</v>
      </c>
      <c r="E6" s="63">
        <v>33.0</v>
      </c>
      <c r="F6" s="64">
        <f t="shared" si="1"/>
        <v>0.2915100139</v>
      </c>
      <c r="G6" s="64">
        <f t="shared" si="2"/>
        <v>0.2137740102</v>
      </c>
      <c r="H6" s="64">
        <f t="shared" si="3"/>
        <v>0.2915100139</v>
      </c>
    </row>
    <row r="7" ht="15.75" customHeight="1">
      <c r="A7" s="65" t="s">
        <v>34</v>
      </c>
      <c r="B7" s="62">
        <f>IFERROR(VLOOKUP(A7, Lanches!$A:$C, 3, FALSE),  IFERROR(VLOOKUP(A7, 'Porções'!$A:$C, 3, FALSE),     IFERROR(VLOOKUP(A7, Bebidas!$A:$F, 6, FALSE), IFERROR(VLOOKUP(A7, Sobremesas!$A:$F, 3, FALSE), IFERROR(VLOOKUP(A7, Combos!$A:$F, 2, FALSE), "")))))</f>
        <v>11.05267586</v>
      </c>
      <c r="C7" s="63">
        <v>38.0</v>
      </c>
      <c r="D7" s="63">
        <v>57.9</v>
      </c>
      <c r="E7" s="63">
        <v>38.0</v>
      </c>
      <c r="F7" s="64">
        <f t="shared" si="1"/>
        <v>0.2908598912</v>
      </c>
      <c r="G7" s="64">
        <f t="shared" si="2"/>
        <v>0.190892502</v>
      </c>
      <c r="H7" s="64">
        <f t="shared" si="3"/>
        <v>0.2908598912</v>
      </c>
    </row>
    <row r="8" ht="15.75" customHeight="1">
      <c r="A8" s="66" t="s">
        <v>37</v>
      </c>
      <c r="B8" s="62">
        <f>IFERROR(VLOOKUP(A8, Lanches!$A:$C, 3, FALSE),  IFERROR(VLOOKUP(A8, 'Porções'!$A:$C, 3, FALSE),     IFERROR(VLOOKUP(A8, Bebidas!$A:$F, 6, FALSE), IFERROR(VLOOKUP(A8, Sobremesas!$A:$F, 3, FALSE), IFERROR(VLOOKUP(A8, Combos!$A:$F, 2, FALSE), "")))))</f>
        <v>12.52523586</v>
      </c>
      <c r="C8" s="63">
        <v>39.0</v>
      </c>
      <c r="D8" s="63">
        <v>59.9</v>
      </c>
      <c r="E8" s="63">
        <v>39.0</v>
      </c>
      <c r="F8" s="64">
        <f t="shared" si="1"/>
        <v>0.321159894</v>
      </c>
      <c r="G8" s="64">
        <f t="shared" si="2"/>
        <v>0.2091024351</v>
      </c>
      <c r="H8" s="64">
        <f t="shared" si="3"/>
        <v>0.321159894</v>
      </c>
    </row>
    <row r="9" ht="15.75" customHeight="1">
      <c r="A9" s="65" t="s">
        <v>15</v>
      </c>
      <c r="B9" s="62">
        <f>IFERROR(VLOOKUP(A9, Lanches!$A:$C, 3, FALSE),  IFERROR(VLOOKUP(A9, 'Porções'!$A:$C, 3, FALSE),     IFERROR(VLOOKUP(A9, Bebidas!$A:$F, 6, FALSE), IFERROR(VLOOKUP(A9, Sobremesas!$A:$F, 3, FALSE), IFERROR(VLOOKUP(A9, Combos!$A:$F, 2, FALSE), "")))))</f>
        <v>8.94527</v>
      </c>
      <c r="C9" s="67">
        <v>43.0</v>
      </c>
      <c r="D9" s="63">
        <v>51.9</v>
      </c>
      <c r="E9" s="68">
        <v>43.0</v>
      </c>
      <c r="F9" s="64">
        <f>IF(OR(B9="",D9=""),"",B9/D9)</f>
        <v>0.1723558767</v>
      </c>
      <c r="G9" s="64">
        <f t="shared" si="2"/>
        <v>0.1723558767</v>
      </c>
      <c r="H9" s="64">
        <f t="shared" si="3"/>
        <v>0.2080295349</v>
      </c>
    </row>
    <row r="10" ht="15.75" customHeight="1">
      <c r="A10" s="65" t="s">
        <v>19</v>
      </c>
      <c r="B10" s="62">
        <f>IFERROR(VLOOKUP(A10, Lanches!$A:$C, 3, FALSE),  IFERROR(VLOOKUP(A10, 'Porções'!$A:$C, 3, FALSE),     IFERROR(VLOOKUP(A10, Bebidas!$A:$F, 6, FALSE), IFERROR(VLOOKUP(A10, Sobremesas!$A:$F, 3, FALSE), IFERROR(VLOOKUP(A10, Combos!$A:$F, 2, FALSE), "")))))</f>
        <v>11.39705586</v>
      </c>
      <c r="C10" s="63">
        <v>39.0</v>
      </c>
      <c r="D10" s="63">
        <v>51.9</v>
      </c>
      <c r="E10" s="63">
        <v>39.0</v>
      </c>
      <c r="F10" s="64">
        <f t="shared" ref="F10:F15" si="4">IF(OR(B10="",C10=""),"",B10/C10)</f>
        <v>0.2922322017</v>
      </c>
      <c r="G10" s="64">
        <f t="shared" si="2"/>
        <v>0.2195964521</v>
      </c>
      <c r="H10" s="64">
        <f t="shared" si="3"/>
        <v>0.2922322017</v>
      </c>
    </row>
    <row r="11" ht="15.75" customHeight="1">
      <c r="A11" s="65" t="s">
        <v>56</v>
      </c>
      <c r="B11" s="62">
        <f>IFERROR(VLOOKUP(A11, Lanches!$A:$C, 3, FALSE),  IFERROR(VLOOKUP(A11, 'Porções'!$A:$C, 3, FALSE),     IFERROR(VLOOKUP(A11, Bebidas!$A:$F, 6, FALSE), IFERROR(VLOOKUP(A11, Sobremesas!$A:$F, 3, FALSE), IFERROR(VLOOKUP(A11, Combos!$A:$F, 2, FALSE), "")))))</f>
        <v>11.97708611</v>
      </c>
      <c r="C11" s="63">
        <v>43.0</v>
      </c>
      <c r="D11" s="63">
        <v>51.9</v>
      </c>
      <c r="E11" s="63">
        <v>43.0</v>
      </c>
      <c r="F11" s="64">
        <f t="shared" si="4"/>
        <v>0.2785368862</v>
      </c>
      <c r="G11" s="64">
        <f t="shared" si="2"/>
        <v>0.230772372</v>
      </c>
      <c r="H11" s="64">
        <f t="shared" si="3"/>
        <v>0.2785368862</v>
      </c>
    </row>
    <row r="12" ht="15.75" customHeight="1">
      <c r="A12" s="65" t="s">
        <v>29</v>
      </c>
      <c r="B12" s="62">
        <f>IFERROR(VLOOKUP(A12, Lanches!$A:$C, 3, FALSE),  IFERROR(VLOOKUP(A12, 'Porções'!$A:$C, 3, FALSE),     IFERROR(VLOOKUP(A12, Bebidas!$A:$F, 6, FALSE), IFERROR(VLOOKUP(A12, Sobremesas!$A:$F, 3, FALSE), IFERROR(VLOOKUP(A12, Combos!$A:$F, 2, FALSE), "")))))</f>
        <v>11.88262121</v>
      </c>
      <c r="C12" s="63">
        <v>43.0</v>
      </c>
      <c r="D12" s="63">
        <v>53.7</v>
      </c>
      <c r="E12" s="63">
        <v>43.0</v>
      </c>
      <c r="F12" s="64">
        <f t="shared" si="4"/>
        <v>0.2763400282</v>
      </c>
      <c r="G12" s="64">
        <f t="shared" si="2"/>
        <v>0.2212778625</v>
      </c>
      <c r="H12" s="64">
        <f t="shared" si="3"/>
        <v>0.2763400282</v>
      </c>
    </row>
    <row r="13" ht="15.75" customHeight="1">
      <c r="A13" s="65" t="s">
        <v>32</v>
      </c>
      <c r="B13" s="62">
        <f>IFERROR(VLOOKUP(A13, Lanches!$A:$C, 3, FALSE),  IFERROR(VLOOKUP(A13, 'Porções'!$A:$C, 3, FALSE),     IFERROR(VLOOKUP(A13, Bebidas!$A:$F, 6, FALSE), IFERROR(VLOOKUP(A13, Sobremesas!$A:$F, 3, FALSE), IFERROR(VLOOKUP(A13, Combos!$A:$F, 2, FALSE), "")))))</f>
        <v>17.06743086</v>
      </c>
      <c r="C13" s="63">
        <v>59.9</v>
      </c>
      <c r="D13" s="63">
        <v>74.7</v>
      </c>
      <c r="E13" s="63">
        <v>59.9</v>
      </c>
      <c r="F13" s="64">
        <f t="shared" si="4"/>
        <v>0.2849320679</v>
      </c>
      <c r="G13" s="64">
        <f t="shared" si="2"/>
        <v>0.2284796635</v>
      </c>
      <c r="H13" s="64">
        <f t="shared" si="3"/>
        <v>0.2849320679</v>
      </c>
    </row>
    <row r="14" ht="15.75" customHeight="1">
      <c r="A14" s="65" t="s">
        <v>11</v>
      </c>
      <c r="B14" s="62">
        <f>IFERROR(VLOOKUP(A14, Lanches!$A:$C, 3, FALSE),  IFERROR(VLOOKUP(A14, 'Porções'!$A:$C, 3, FALSE),     IFERROR(VLOOKUP(A14, Bebidas!$A:$F, 6, FALSE), IFERROR(VLOOKUP(A14, Sobremesas!$A:$F, 3, FALSE), IFERROR(VLOOKUP(A14, Combos!$A:$F, 2, FALSE), "")))))</f>
        <v>4.915106512</v>
      </c>
      <c r="C14" s="63">
        <v>35.0</v>
      </c>
      <c r="D14" s="63">
        <v>41.7</v>
      </c>
      <c r="E14" s="63">
        <v>35.0</v>
      </c>
      <c r="F14" s="64">
        <f t="shared" si="4"/>
        <v>0.1404316146</v>
      </c>
      <c r="G14" s="64">
        <f t="shared" si="2"/>
        <v>0.1178682617</v>
      </c>
      <c r="H14" s="64">
        <f t="shared" si="3"/>
        <v>0.1404316146</v>
      </c>
    </row>
    <row r="15" ht="15.75" customHeight="1">
      <c r="A15" s="69" t="s">
        <v>39</v>
      </c>
      <c r="B15" s="62">
        <f>IFERROR(VLOOKUP(A15, Lanches!$A:$C, 3, FALSE),  IFERROR(VLOOKUP(A15, 'Porções'!$A:$C, 3, FALSE),     IFERROR(VLOOKUP(A15, Bebidas!$A:$F, 6, FALSE), IFERROR(VLOOKUP(A15, Sobremesas!$A:$F, 3, FALSE), IFERROR(VLOOKUP(A15, Combos!$A:$F, 2, FALSE), "")))))</f>
        <v>8.147270459</v>
      </c>
      <c r="C15" s="68">
        <v>25.0</v>
      </c>
      <c r="D15" s="68">
        <v>30.0</v>
      </c>
      <c r="E15" s="68">
        <v>25.0</v>
      </c>
      <c r="F15" s="64">
        <f t="shared" si="4"/>
        <v>0.3258908184</v>
      </c>
      <c r="G15" s="64">
        <f t="shared" si="2"/>
        <v>0.271575682</v>
      </c>
      <c r="H15" s="64">
        <f t="shared" si="3"/>
        <v>0.3258908184</v>
      </c>
    </row>
    <row r="16" ht="15.75" customHeight="1">
      <c r="A16" s="70" t="s">
        <v>220</v>
      </c>
      <c r="B16" s="71"/>
      <c r="C16" s="72"/>
      <c r="D16" s="72"/>
      <c r="E16" s="72"/>
      <c r="F16" s="73" t="str">
        <f>IF(OR($B$4="",C16=""),"",$B$4/C16)</f>
        <v/>
      </c>
      <c r="G16" s="73"/>
      <c r="H16" s="73" t="str">
        <f>IF(OR($B$4="",E16=""),"",$B$4/E16)</f>
        <v/>
      </c>
    </row>
    <row r="17" ht="15.75" customHeight="1">
      <c r="A17" s="65" t="s">
        <v>13</v>
      </c>
      <c r="B17" s="62">
        <f>IFERROR(VLOOKUP(A17, Lanches!$A:$C, 3, FALSE),  IFERROR(VLOOKUP(A17, 'Porções'!$A:$C, 3, FALSE),     IFERROR(VLOOKUP(A17, Bebidas!$A:$F, 6, FALSE), IFERROR(VLOOKUP(A17, Sobremesas!$A:$F, 3, FALSE), IFERROR(VLOOKUP(A17, Combos!$A:$F, 2, FALSE), "")))))</f>
        <v>3.272307692</v>
      </c>
      <c r="C17" s="63">
        <v>20.0</v>
      </c>
      <c r="D17" s="63">
        <v>24.9</v>
      </c>
      <c r="E17" s="63">
        <v>20.0</v>
      </c>
      <c r="F17" s="64">
        <f t="shared" ref="F17:F28" si="5">IF(OR(B17="",C17=""),"",B17/C17)</f>
        <v>0.1636153846</v>
      </c>
      <c r="G17" s="64">
        <f t="shared" ref="G17:G28" si="6">IF(OR(B17="",D17=""),"",B17/D17)</f>
        <v>0.1314179796</v>
      </c>
      <c r="H17" s="64">
        <f t="shared" ref="H17:H28" si="7">IF(OR(B17="",E17=""),"",B17/E17)</f>
        <v>0.1636153846</v>
      </c>
    </row>
    <row r="18" ht="15.75" customHeight="1">
      <c r="A18" s="65" t="s">
        <v>23</v>
      </c>
      <c r="B18" s="62">
        <f>IFERROR(VLOOKUP(A18, Lanches!$A:$C, 3, FALSE),  IFERROR(VLOOKUP(A18, 'Porções'!$A:$C, 3, FALSE),     IFERROR(VLOOKUP(A18, Bebidas!$A:$F, 6, FALSE), IFERROR(VLOOKUP(A18, Sobremesas!$A:$F, 3, FALSE), IFERROR(VLOOKUP(A18, Combos!$A:$F, 2, FALSE), "")))))</f>
        <v>5.624615385</v>
      </c>
      <c r="C18" s="63">
        <v>25.0</v>
      </c>
      <c r="D18" s="63">
        <v>31.9</v>
      </c>
      <c r="E18" s="63">
        <v>25.0</v>
      </c>
      <c r="F18" s="64">
        <f t="shared" si="5"/>
        <v>0.2249846154</v>
      </c>
      <c r="G18" s="64">
        <f t="shared" si="6"/>
        <v>0.1763202315</v>
      </c>
      <c r="H18" s="64">
        <f t="shared" si="7"/>
        <v>0.2249846154</v>
      </c>
    </row>
    <row r="19" ht="15.75" customHeight="1">
      <c r="A19" s="65" t="s">
        <v>35</v>
      </c>
      <c r="B19" s="62">
        <f>IFERROR(VLOOKUP(A19, Lanches!$A:$C, 3, FALSE),  IFERROR(VLOOKUP(A19, 'Porções'!$A:$C, 3, FALSE),     IFERROR(VLOOKUP(A19, Bebidas!$A:$F, 6, FALSE), IFERROR(VLOOKUP(A19, Sobremesas!$A:$F, 3, FALSE), IFERROR(VLOOKUP(A19, Combos!$A:$F, 2, FALSE), "")))))</f>
        <v>10.32923077</v>
      </c>
      <c r="C19" s="63">
        <v>35.0</v>
      </c>
      <c r="D19" s="63">
        <v>36.9</v>
      </c>
      <c r="E19" s="63">
        <v>35.0</v>
      </c>
      <c r="F19" s="64">
        <f t="shared" si="5"/>
        <v>0.2951208791</v>
      </c>
      <c r="G19" s="64">
        <f t="shared" si="6"/>
        <v>0.2799249531</v>
      </c>
      <c r="H19" s="64">
        <f t="shared" si="7"/>
        <v>0.2951208791</v>
      </c>
    </row>
    <row r="20" ht="15.75" customHeight="1">
      <c r="A20" s="65" t="s">
        <v>14</v>
      </c>
      <c r="B20" s="62">
        <f>IFERROR(VLOOKUP(A20, Lanches!$A:$C, 3, FALSE),  IFERROR(VLOOKUP(A20, 'Porções'!$A:$C, 3, FALSE),     IFERROR(VLOOKUP(A20, Bebidas!$A:$F, 6, FALSE), IFERROR(VLOOKUP(A20, Sobremesas!$A:$F, 3, FALSE), IFERROR(VLOOKUP(A20, Combos!$A:$F, 2, FALSE), "")))))</f>
        <v>3.296</v>
      </c>
      <c r="C20" s="63">
        <v>20.0</v>
      </c>
      <c r="D20" s="63">
        <v>24.9</v>
      </c>
      <c r="E20" s="63">
        <v>20.0</v>
      </c>
      <c r="F20" s="64">
        <f t="shared" si="5"/>
        <v>0.1648</v>
      </c>
      <c r="G20" s="64">
        <f t="shared" si="6"/>
        <v>0.1323694779</v>
      </c>
      <c r="H20" s="64">
        <f t="shared" si="7"/>
        <v>0.1648</v>
      </c>
    </row>
    <row r="21" ht="15.75" customHeight="1">
      <c r="A21" s="65" t="s">
        <v>16</v>
      </c>
      <c r="B21" s="62">
        <f>IFERROR(VLOOKUP(A21, Lanches!$A:$C, 3, FALSE),  IFERROR(VLOOKUP(A21, 'Porções'!$A:$C, 3, FALSE),     IFERROR(VLOOKUP(A21, Bebidas!$A:$F, 6, FALSE), IFERROR(VLOOKUP(A21, Sobremesas!$A:$F, 3, FALSE), IFERROR(VLOOKUP(A21, Combos!$A:$F, 2, FALSE), "")))))</f>
        <v>4.484</v>
      </c>
      <c r="C21" s="63">
        <v>25.0</v>
      </c>
      <c r="D21" s="63">
        <v>31.9</v>
      </c>
      <c r="E21" s="63">
        <v>25.0</v>
      </c>
      <c r="F21" s="64">
        <f t="shared" si="5"/>
        <v>0.17936</v>
      </c>
      <c r="G21" s="64">
        <f t="shared" si="6"/>
        <v>0.1405642633</v>
      </c>
      <c r="H21" s="64">
        <f t="shared" si="7"/>
        <v>0.17936</v>
      </c>
    </row>
    <row r="22" ht="15.75" customHeight="1">
      <c r="A22" s="65" t="s">
        <v>17</v>
      </c>
      <c r="B22" s="62">
        <f>IFERROR(VLOOKUP(A22, Lanches!$A:$C, 3, FALSE),  IFERROR(VLOOKUP(A22, 'Porções'!$A:$C, 3, FALSE),     IFERROR(VLOOKUP(A22, Bebidas!$A:$F, 6, FALSE), IFERROR(VLOOKUP(A22, Sobremesas!$A:$F, 3, FALSE), IFERROR(VLOOKUP(A22, Combos!$A:$F, 2, FALSE), "")))))</f>
        <v>6.86</v>
      </c>
      <c r="C22" s="63">
        <v>35.0</v>
      </c>
      <c r="D22" s="63">
        <v>37.7</v>
      </c>
      <c r="E22" s="63">
        <v>35.0</v>
      </c>
      <c r="F22" s="64">
        <f t="shared" si="5"/>
        <v>0.196</v>
      </c>
      <c r="G22" s="64">
        <f t="shared" si="6"/>
        <v>0.1819628647</v>
      </c>
      <c r="H22" s="64">
        <f t="shared" si="7"/>
        <v>0.196</v>
      </c>
    </row>
    <row r="23" ht="15.75" customHeight="1">
      <c r="A23" s="65" t="s">
        <v>24</v>
      </c>
      <c r="B23" s="62">
        <f>IFERROR(VLOOKUP(A23, Lanches!$A:$C, 3, FALSE),  IFERROR(VLOOKUP(A23, 'Porções'!$A:$C, 3, FALSE),     IFERROR(VLOOKUP(A23, Bebidas!$A:$F, 6, FALSE), IFERROR(VLOOKUP(A23, Sobremesas!$A:$F, 3, FALSE), IFERROR(VLOOKUP(A23, Combos!$A:$F, 2, FALSE), "")))))</f>
        <v>4.631701538</v>
      </c>
      <c r="C23" s="63">
        <v>20.0</v>
      </c>
      <c r="D23" s="63">
        <v>24.9</v>
      </c>
      <c r="E23" s="63">
        <v>20.0</v>
      </c>
      <c r="F23" s="64">
        <f t="shared" si="5"/>
        <v>0.2315850769</v>
      </c>
      <c r="G23" s="64">
        <f t="shared" si="6"/>
        <v>0.18601211</v>
      </c>
      <c r="H23" s="64">
        <f t="shared" si="7"/>
        <v>0.2315850769</v>
      </c>
    </row>
    <row r="24" ht="15.75" customHeight="1">
      <c r="A24" s="65" t="s">
        <v>38</v>
      </c>
      <c r="B24" s="62">
        <f>IFERROR(VLOOKUP(A24, Lanches!$A:$C, 3, FALSE),  IFERROR(VLOOKUP(A24, 'Porções'!$A:$C, 3, FALSE),     IFERROR(VLOOKUP(A24, Bebidas!$A:$F, 6, FALSE), IFERROR(VLOOKUP(A24, Sobremesas!$A:$F, 3, FALSE), IFERROR(VLOOKUP(A24, Combos!$A:$F, 2, FALSE), "")))))</f>
        <v>7.879440385</v>
      </c>
      <c r="C24" s="63">
        <v>25.0</v>
      </c>
      <c r="D24" s="63">
        <v>31.9</v>
      </c>
      <c r="E24" s="63">
        <v>25.0</v>
      </c>
      <c r="F24" s="64">
        <f t="shared" si="5"/>
        <v>0.3151776154</v>
      </c>
      <c r="G24" s="64">
        <f t="shared" si="6"/>
        <v>0.2470044008</v>
      </c>
      <c r="H24" s="64">
        <f t="shared" si="7"/>
        <v>0.3151776154</v>
      </c>
    </row>
    <row r="25" ht="15.75" customHeight="1">
      <c r="A25" s="65" t="s">
        <v>46</v>
      </c>
      <c r="B25" s="62">
        <f>IFERROR(VLOOKUP(A25, Lanches!$A:$C, 3, FALSE),  IFERROR(VLOOKUP(A25, 'Porções'!$A:$C, 3, FALSE),     IFERROR(VLOOKUP(A25, Bebidas!$A:$F, 6, FALSE), IFERROR(VLOOKUP(A25, Sobremesas!$A:$F, 3, FALSE), IFERROR(VLOOKUP(A25, Combos!$A:$F, 2, FALSE), "")))))</f>
        <v>14.83888077</v>
      </c>
      <c r="C25" s="63">
        <v>40.0</v>
      </c>
      <c r="D25" s="63">
        <v>43.7</v>
      </c>
      <c r="E25" s="63">
        <v>40.0</v>
      </c>
      <c r="F25" s="64">
        <f t="shared" si="5"/>
        <v>0.3709720192</v>
      </c>
      <c r="G25" s="64">
        <f t="shared" si="6"/>
        <v>0.339562489</v>
      </c>
      <c r="H25" s="64">
        <f t="shared" si="7"/>
        <v>0.3709720192</v>
      </c>
    </row>
    <row r="26" ht="15.75" customHeight="1">
      <c r="A26" s="65" t="s">
        <v>41</v>
      </c>
      <c r="B26" s="62">
        <f>IFERROR(VLOOKUP(A26, Lanches!$A:$C, 3, FALSE),  IFERROR(VLOOKUP(A26, 'Porções'!$A:$C, 3, FALSE),     IFERROR(VLOOKUP(A26, Bebidas!$A:$F, 6, FALSE), IFERROR(VLOOKUP(A26, Sobremesas!$A:$F, 3, FALSE), IFERROR(VLOOKUP(A26, Combos!$A:$F, 2, FALSE), "")))))</f>
        <v>12.54289665</v>
      </c>
      <c r="C26" s="63">
        <v>39.0</v>
      </c>
      <c r="D26" s="63">
        <v>49.9</v>
      </c>
      <c r="E26" s="63">
        <v>39.0</v>
      </c>
      <c r="F26" s="64">
        <f t="shared" si="5"/>
        <v>0.3216127346</v>
      </c>
      <c r="G26" s="64">
        <f t="shared" si="6"/>
        <v>0.2513606543</v>
      </c>
      <c r="H26" s="64">
        <f t="shared" si="7"/>
        <v>0.3216127346</v>
      </c>
    </row>
    <row r="27" ht="15.75" customHeight="1">
      <c r="A27" s="65" t="s">
        <v>42</v>
      </c>
      <c r="B27" s="62">
        <f>IFERROR(VLOOKUP(A27, Lanches!$A:$C, 3, FALSE),  IFERROR(VLOOKUP(A27, 'Porções'!$A:$C, 3, FALSE),     IFERROR(VLOOKUP(A27, Bebidas!$A:$F, 6, FALSE), IFERROR(VLOOKUP(A27, Sobremesas!$A:$F, 3, FALSE), IFERROR(VLOOKUP(A27, Combos!$A:$F, 2, FALSE), "")))))</f>
        <v>13.2543695</v>
      </c>
      <c r="C27" s="63">
        <v>39.0</v>
      </c>
      <c r="D27" s="62"/>
      <c r="E27" s="63">
        <v>39.0</v>
      </c>
      <c r="F27" s="64">
        <f t="shared" si="5"/>
        <v>0.3398556283</v>
      </c>
      <c r="G27" s="64" t="str">
        <f t="shared" si="6"/>
        <v/>
      </c>
      <c r="H27" s="64">
        <f t="shared" si="7"/>
        <v>0.3398556283</v>
      </c>
    </row>
    <row r="28" ht="15.75" customHeight="1">
      <c r="A28" s="65" t="s">
        <v>20</v>
      </c>
      <c r="B28" s="62">
        <f>IFERROR(VLOOKUP(A28, Lanches!$A:$C, 3, FALSE),  IFERROR(VLOOKUP(A28, 'Porções'!$A:$C, 3, FALSE),     IFERROR(VLOOKUP(A28, Bebidas!$A:$F, 6, FALSE), IFERROR(VLOOKUP(A28, Sobremesas!$A:$F, 3, FALSE), IFERROR(VLOOKUP(A28, Combos!$A:$F, 2, FALSE), "")))))</f>
        <v>9.360009231</v>
      </c>
      <c r="C28" s="63">
        <v>45.0</v>
      </c>
      <c r="D28" s="63">
        <v>55.0</v>
      </c>
      <c r="E28" s="63">
        <v>45.0</v>
      </c>
      <c r="F28" s="64">
        <f t="shared" si="5"/>
        <v>0.2080002051</v>
      </c>
      <c r="G28" s="64">
        <f t="shared" si="6"/>
        <v>0.170181986</v>
      </c>
      <c r="H28" s="64">
        <f t="shared" si="7"/>
        <v>0.2080002051</v>
      </c>
    </row>
    <row r="29" ht="15.75" customHeight="1">
      <c r="A29" s="74" t="s">
        <v>221</v>
      </c>
      <c r="B29" s="71"/>
      <c r="C29" s="72"/>
      <c r="D29" s="72"/>
      <c r="E29" s="72"/>
      <c r="F29" s="73" t="str">
        <f>IF(OR($B$4="",C29=""),"",$B$4/C29)</f>
        <v/>
      </c>
      <c r="G29" s="73"/>
      <c r="H29" s="73" t="str">
        <f>IF(OR($B$4="",E29=""),"",$B$4/E29)</f>
        <v/>
      </c>
    </row>
    <row r="30" ht="15.75" customHeight="1">
      <c r="A30" s="75" t="s">
        <v>58</v>
      </c>
      <c r="B30" s="62">
        <f>IFERROR(VLOOKUP(A30, Lanches!$A:$C, 3, FALSE),  IFERROR(VLOOKUP(A30, 'Porções'!$A:$C, 3, FALSE),     IFERROR(VLOOKUP(A30, Bebidas!$A:$F, 6, FALSE), IFERROR(VLOOKUP(A30, Sobremesas!$A:$F, 3, FALSE), IFERROR(VLOOKUP(A30, Combos!$A:$F, 2, FALSE), "")))))</f>
        <v>1.2525</v>
      </c>
      <c r="C30" s="62"/>
      <c r="D30" s="62"/>
      <c r="E30" s="63">
        <v>4.5</v>
      </c>
      <c r="F30" s="64" t="str">
        <f t="shared" ref="F30:F55" si="8">IF(OR(B30="",C30=""),"",B30/C30)</f>
        <v/>
      </c>
      <c r="G30" s="64" t="str">
        <f t="shared" ref="G30:G55" si="9">IF(OR(B30="",D30=""),"",B30/D30)</f>
        <v/>
      </c>
      <c r="H30" s="64">
        <f t="shared" ref="H30:H55" si="10">IF(OR(B30="",E30=""),"",B30/E30)</f>
        <v>0.2783333333</v>
      </c>
    </row>
    <row r="31" ht="15.75" customHeight="1">
      <c r="A31" s="75" t="s">
        <v>59</v>
      </c>
      <c r="B31" s="62">
        <f>IFERROR(VLOOKUP(A31, Lanches!$A:$C, 3, FALSE),  IFERROR(VLOOKUP(A31, 'Porções'!$A:$C, 3, FALSE),     IFERROR(VLOOKUP(A31, Bebidas!$A:$F, 6, FALSE), IFERROR(VLOOKUP(A31, Sobremesas!$A:$F, 3, FALSE), IFERROR(VLOOKUP(A31, Combos!$A:$F, 2, FALSE), "")))))</f>
        <v>1.254166667</v>
      </c>
      <c r="C31" s="62"/>
      <c r="D31" s="62"/>
      <c r="E31" s="63">
        <v>4.5</v>
      </c>
      <c r="F31" s="64" t="str">
        <f t="shared" si="8"/>
        <v/>
      </c>
      <c r="G31" s="64" t="str">
        <f t="shared" si="9"/>
        <v/>
      </c>
      <c r="H31" s="64">
        <f t="shared" si="10"/>
        <v>0.2787037037</v>
      </c>
    </row>
    <row r="32" ht="15.75" customHeight="1">
      <c r="A32" s="75" t="s">
        <v>22</v>
      </c>
      <c r="B32" s="62">
        <f>IFERROR(VLOOKUP(A32, Lanches!$A:$C, 3, FALSE),  IFERROR(VLOOKUP(A32, 'Porções'!$A:$C, 3, FALSE),     IFERROR(VLOOKUP(A32, Bebidas!$A:$F, 6, FALSE), IFERROR(VLOOKUP(A32, Sobremesas!$A:$F, 3, FALSE), IFERROR(VLOOKUP(A32, Combos!$A:$F, 2, FALSE), "")))))</f>
        <v>1.0675</v>
      </c>
      <c r="C32" s="63">
        <v>5.0</v>
      </c>
      <c r="D32" s="63">
        <v>6.0</v>
      </c>
      <c r="E32" s="63">
        <v>5.0</v>
      </c>
      <c r="F32" s="64">
        <f t="shared" si="8"/>
        <v>0.2135</v>
      </c>
      <c r="G32" s="64">
        <f t="shared" si="9"/>
        <v>0.1779166667</v>
      </c>
      <c r="H32" s="64">
        <f t="shared" si="10"/>
        <v>0.2135</v>
      </c>
    </row>
    <row r="33" ht="15.75" customHeight="1">
      <c r="A33" s="75" t="s">
        <v>27</v>
      </c>
      <c r="B33" s="62">
        <f>IFERROR(VLOOKUP(A33, Lanches!$A:$C, 3, FALSE),  IFERROR(VLOOKUP(A33, 'Porções'!$A:$C, 3, FALSE),     IFERROR(VLOOKUP(A33, Bebidas!$A:$F, 6, FALSE), IFERROR(VLOOKUP(A33, Sobremesas!$A:$F, 3, FALSE), IFERROR(VLOOKUP(A33, Combos!$A:$F, 2, FALSE), "")))))</f>
        <v>1.21202381</v>
      </c>
      <c r="C33" s="63">
        <v>5.0</v>
      </c>
      <c r="D33" s="63">
        <v>6.0</v>
      </c>
      <c r="E33" s="63">
        <v>5.0</v>
      </c>
      <c r="F33" s="64">
        <f t="shared" si="8"/>
        <v>0.2424047619</v>
      </c>
      <c r="G33" s="64">
        <f t="shared" si="9"/>
        <v>0.2020039683</v>
      </c>
      <c r="H33" s="64">
        <f t="shared" si="10"/>
        <v>0.2424047619</v>
      </c>
    </row>
    <row r="34" ht="15.75" customHeight="1">
      <c r="A34" s="75" t="s">
        <v>54</v>
      </c>
      <c r="B34" s="62">
        <f>IFERROR(VLOOKUP(A34, Lanches!$A:$C, 3, FALSE),  IFERROR(VLOOKUP(A34, 'Porções'!$A:$C, 3, FALSE),     IFERROR(VLOOKUP(A34, Bebidas!$A:$F, 6, FALSE), IFERROR(VLOOKUP(A34, Sobremesas!$A:$F, 3, FALSE), IFERROR(VLOOKUP(A34, Combos!$A:$F, 2, FALSE), "")))))</f>
        <v>2.583333333</v>
      </c>
      <c r="C34" s="63">
        <v>5.0</v>
      </c>
      <c r="D34" s="62"/>
      <c r="E34" s="63">
        <v>5.0</v>
      </c>
      <c r="F34" s="64">
        <f t="shared" si="8"/>
        <v>0.5166666667</v>
      </c>
      <c r="G34" s="64" t="str">
        <f t="shared" si="9"/>
        <v/>
      </c>
      <c r="H34" s="64">
        <f t="shared" si="10"/>
        <v>0.5166666667</v>
      </c>
    </row>
    <row r="35" ht="15.75" customHeight="1">
      <c r="A35" s="75" t="s">
        <v>55</v>
      </c>
      <c r="B35" s="62">
        <f>IFERROR(VLOOKUP(A35, Lanches!$A:$C, 3, FALSE),  IFERROR(VLOOKUP(A35, 'Porções'!$A:$C, 3, FALSE),     IFERROR(VLOOKUP(A35, Bebidas!$A:$F, 6, FALSE), IFERROR(VLOOKUP(A35, Sobremesas!$A:$F, 3, FALSE), IFERROR(VLOOKUP(A35, Combos!$A:$F, 2, FALSE), "")))))</f>
        <v>2.6075</v>
      </c>
      <c r="C35" s="63">
        <v>5.0</v>
      </c>
      <c r="D35" s="62"/>
      <c r="E35" s="63">
        <v>5.0</v>
      </c>
      <c r="F35" s="64">
        <f t="shared" si="8"/>
        <v>0.5215</v>
      </c>
      <c r="G35" s="64" t="str">
        <f t="shared" si="9"/>
        <v/>
      </c>
      <c r="H35" s="64">
        <f t="shared" si="10"/>
        <v>0.5215</v>
      </c>
    </row>
    <row r="36" ht="15.75" customHeight="1">
      <c r="A36" s="75" t="s">
        <v>60</v>
      </c>
      <c r="B36" s="62">
        <f>IFERROR(VLOOKUP(A36, Lanches!$A:$C, 3, FALSE),  IFERROR(VLOOKUP(A36, 'Porções'!$A:$C, 3, FALSE),     IFERROR(VLOOKUP(A36, Bebidas!$A:$F, 6, FALSE), IFERROR(VLOOKUP(A36, Sobremesas!$A:$F, 3, FALSE), IFERROR(VLOOKUP(A36, Combos!$A:$F, 2, FALSE), "")))))</f>
        <v>2.35</v>
      </c>
      <c r="C36" s="62"/>
      <c r="D36" s="62"/>
      <c r="E36" s="63">
        <v>6.0</v>
      </c>
      <c r="F36" s="64" t="str">
        <f t="shared" si="8"/>
        <v/>
      </c>
      <c r="G36" s="64" t="str">
        <f t="shared" si="9"/>
        <v/>
      </c>
      <c r="H36" s="64">
        <f t="shared" si="10"/>
        <v>0.3916666667</v>
      </c>
    </row>
    <row r="37" ht="15.75" customHeight="1">
      <c r="A37" s="75" t="s">
        <v>61</v>
      </c>
      <c r="B37" s="62">
        <f>IFERROR(VLOOKUP(A37, Lanches!$A:$C, 3, FALSE),  IFERROR(VLOOKUP(A37, 'Porções'!$A:$C, 3, FALSE),     IFERROR(VLOOKUP(A37, Bebidas!$A:$F, 6, FALSE), IFERROR(VLOOKUP(A37, Sobremesas!$A:$F, 3, FALSE), IFERROR(VLOOKUP(A37, Combos!$A:$F, 2, FALSE), "")))))</f>
        <v>2.35</v>
      </c>
      <c r="C37" s="62"/>
      <c r="D37" s="62"/>
      <c r="E37" s="63">
        <v>6.0</v>
      </c>
      <c r="F37" s="64" t="str">
        <f t="shared" si="8"/>
        <v/>
      </c>
      <c r="G37" s="64" t="str">
        <f t="shared" si="9"/>
        <v/>
      </c>
      <c r="H37" s="64">
        <f t="shared" si="10"/>
        <v>0.3916666667</v>
      </c>
    </row>
    <row r="38" ht="15.75" customHeight="1">
      <c r="A38" s="75" t="s">
        <v>44</v>
      </c>
      <c r="B38" s="62">
        <f>IFERROR(VLOOKUP(A38, Lanches!$A:$C, 3, FALSE),  IFERROR(VLOOKUP(A38, 'Porções'!$A:$C, 3, FALSE),     IFERROR(VLOOKUP(A38, Bebidas!$A:$F, 6, FALSE), IFERROR(VLOOKUP(A38, Sobremesas!$A:$F, 3, FALSE), IFERROR(VLOOKUP(A38, Combos!$A:$F, 2, FALSE), "")))))</f>
        <v>2.527348485</v>
      </c>
      <c r="C38" s="63">
        <v>7.0</v>
      </c>
      <c r="D38" s="63">
        <v>9.0</v>
      </c>
      <c r="E38" s="63">
        <v>8.0</v>
      </c>
      <c r="F38" s="64">
        <f t="shared" si="8"/>
        <v>0.3610497835</v>
      </c>
      <c r="G38" s="64">
        <f t="shared" si="9"/>
        <v>0.2808164983</v>
      </c>
      <c r="H38" s="64">
        <f t="shared" si="10"/>
        <v>0.3159185606</v>
      </c>
    </row>
    <row r="39" ht="15.75" customHeight="1">
      <c r="A39" s="75" t="s">
        <v>45</v>
      </c>
      <c r="B39" s="62">
        <f>IFERROR(VLOOKUP(A39, Lanches!$A:$C, 3, FALSE),  IFERROR(VLOOKUP(A39, 'Porções'!$A:$C, 3, FALSE),     IFERROR(VLOOKUP(A39, Bebidas!$A:$F, 6, FALSE), IFERROR(VLOOKUP(A39, Sobremesas!$A:$F, 3, FALSE), IFERROR(VLOOKUP(A39, Combos!$A:$F, 2, FALSE), "")))))</f>
        <v>2.55375</v>
      </c>
      <c r="C39" s="63">
        <v>7.0</v>
      </c>
      <c r="D39" s="63">
        <v>9.0</v>
      </c>
      <c r="E39" s="63">
        <v>8.0</v>
      </c>
      <c r="F39" s="64">
        <f t="shared" si="8"/>
        <v>0.3648214286</v>
      </c>
      <c r="G39" s="64">
        <f t="shared" si="9"/>
        <v>0.28375</v>
      </c>
      <c r="H39" s="64">
        <f t="shared" si="10"/>
        <v>0.31921875</v>
      </c>
    </row>
    <row r="40" ht="15.75" customHeight="1">
      <c r="A40" s="75" t="s">
        <v>62</v>
      </c>
      <c r="B40" s="62">
        <f>IFERROR(VLOOKUP(A40, Lanches!$A:$C, 3, FALSE),  IFERROR(VLOOKUP(A40, 'Porções'!$A:$C, 3, FALSE),     IFERROR(VLOOKUP(A40, Bebidas!$A:$F, 6, FALSE), IFERROR(VLOOKUP(A40, Sobremesas!$A:$F, 3, FALSE), IFERROR(VLOOKUP(A40, Combos!$A:$F, 2, FALSE), "")))))</f>
        <v>2.570833333</v>
      </c>
      <c r="C40" s="62"/>
      <c r="D40" s="62"/>
      <c r="E40" s="63">
        <v>8.0</v>
      </c>
      <c r="F40" s="64" t="str">
        <f t="shared" si="8"/>
        <v/>
      </c>
      <c r="G40" s="64" t="str">
        <f t="shared" si="9"/>
        <v/>
      </c>
      <c r="H40" s="64">
        <f t="shared" si="10"/>
        <v>0.3213541667</v>
      </c>
    </row>
    <row r="41" ht="15.75" customHeight="1">
      <c r="A41" s="75" t="s">
        <v>47</v>
      </c>
      <c r="B41" s="62">
        <f>IFERROR(VLOOKUP(A41, Lanches!$A:$C, 3, FALSE),  IFERROR(VLOOKUP(A41, 'Porções'!$A:$C, 3, FALSE),     IFERROR(VLOOKUP(A41, Bebidas!$A:$F, 6, FALSE), IFERROR(VLOOKUP(A41, Sobremesas!$A:$F, 3, FALSE), IFERROR(VLOOKUP(A41, Combos!$A:$F, 2, FALSE), "")))))</f>
        <v>2.6</v>
      </c>
      <c r="C41" s="63">
        <v>7.0</v>
      </c>
      <c r="D41" s="62"/>
      <c r="E41" s="63">
        <v>8.0</v>
      </c>
      <c r="F41" s="64">
        <f t="shared" si="8"/>
        <v>0.3714285714</v>
      </c>
      <c r="G41" s="64" t="str">
        <f t="shared" si="9"/>
        <v/>
      </c>
      <c r="H41" s="64">
        <f t="shared" si="10"/>
        <v>0.325</v>
      </c>
    </row>
    <row r="42" ht="15.75" customHeight="1">
      <c r="A42" s="75" t="s">
        <v>48</v>
      </c>
      <c r="B42" s="62">
        <f>IFERROR(VLOOKUP(A42, Lanches!$A:$C, 3, FALSE),  IFERROR(VLOOKUP(A42, 'Porções'!$A:$C, 3, FALSE),     IFERROR(VLOOKUP(A42, Bebidas!$A:$F, 6, FALSE), IFERROR(VLOOKUP(A42, Sobremesas!$A:$F, 3, FALSE), IFERROR(VLOOKUP(A42, Combos!$A:$F, 2, FALSE), "")))))</f>
        <v>2.6075</v>
      </c>
      <c r="C42" s="63">
        <v>7.0</v>
      </c>
      <c r="D42" s="63">
        <v>9.0</v>
      </c>
      <c r="E42" s="63">
        <v>8.0</v>
      </c>
      <c r="F42" s="64">
        <f t="shared" si="8"/>
        <v>0.3725</v>
      </c>
      <c r="G42" s="64">
        <f t="shared" si="9"/>
        <v>0.2897222222</v>
      </c>
      <c r="H42" s="64">
        <f t="shared" si="10"/>
        <v>0.3259375</v>
      </c>
    </row>
    <row r="43" ht="15.75" customHeight="1">
      <c r="A43" s="75" t="s">
        <v>49</v>
      </c>
      <c r="B43" s="62">
        <f>IFERROR(VLOOKUP(A43, Lanches!$A:$C, 3, FALSE),  IFERROR(VLOOKUP(A43, 'Porções'!$A:$C, 3, FALSE),     IFERROR(VLOOKUP(A43, Bebidas!$A:$F, 6, FALSE), IFERROR(VLOOKUP(A43, Sobremesas!$A:$F, 3, FALSE), IFERROR(VLOOKUP(A43, Combos!$A:$F, 2, FALSE), "")))))</f>
        <v>2.6075</v>
      </c>
      <c r="C43" s="63">
        <v>7.0</v>
      </c>
      <c r="D43" s="62"/>
      <c r="E43" s="63">
        <v>8.0</v>
      </c>
      <c r="F43" s="64">
        <f t="shared" si="8"/>
        <v>0.3725</v>
      </c>
      <c r="G43" s="64" t="str">
        <f t="shared" si="9"/>
        <v/>
      </c>
      <c r="H43" s="64">
        <f t="shared" si="10"/>
        <v>0.3259375</v>
      </c>
    </row>
    <row r="44" ht="15.75" customHeight="1">
      <c r="A44" s="75" t="s">
        <v>50</v>
      </c>
      <c r="B44" s="62">
        <f>IFERROR(VLOOKUP(A44, Lanches!$A:$C, 3, FALSE),  IFERROR(VLOOKUP(A44, 'Porções'!$A:$C, 3, FALSE),     IFERROR(VLOOKUP(A44, Bebidas!$A:$F, 6, FALSE), IFERROR(VLOOKUP(A44, Sobremesas!$A:$F, 3, FALSE), IFERROR(VLOOKUP(A44, Combos!$A:$F, 2, FALSE), "")))))</f>
        <v>2.6075</v>
      </c>
      <c r="C44" s="63">
        <v>7.0</v>
      </c>
      <c r="D44" s="62"/>
      <c r="E44" s="63">
        <v>8.0</v>
      </c>
      <c r="F44" s="64">
        <f t="shared" si="8"/>
        <v>0.3725</v>
      </c>
      <c r="G44" s="64" t="str">
        <f t="shared" si="9"/>
        <v/>
      </c>
      <c r="H44" s="64">
        <f t="shared" si="10"/>
        <v>0.3259375</v>
      </c>
    </row>
    <row r="45" ht="15.75" customHeight="1">
      <c r="A45" s="75" t="s">
        <v>30</v>
      </c>
      <c r="B45" s="62">
        <f>IFERROR(VLOOKUP(A45, Lanches!$A:$C, 3, FALSE),  IFERROR(VLOOKUP(A45, 'Porções'!$A:$C, 3, FALSE),     IFERROR(VLOOKUP(A45, Bebidas!$A:$F, 6, FALSE), IFERROR(VLOOKUP(A45, Sobremesas!$A:$F, 3, FALSE), IFERROR(VLOOKUP(A45, Combos!$A:$F, 2, FALSE), "")))))</f>
        <v>3.317291667</v>
      </c>
      <c r="C45" s="63">
        <v>12.0</v>
      </c>
      <c r="D45" s="63">
        <v>12.9</v>
      </c>
      <c r="E45" s="63">
        <v>12.0</v>
      </c>
      <c r="F45" s="64">
        <f t="shared" si="8"/>
        <v>0.2764409722</v>
      </c>
      <c r="G45" s="64">
        <f t="shared" si="9"/>
        <v>0.2571543928</v>
      </c>
      <c r="H45" s="64">
        <f t="shared" si="10"/>
        <v>0.2764409722</v>
      </c>
    </row>
    <row r="46" ht="15.75" customHeight="1">
      <c r="A46" s="75" t="s">
        <v>31</v>
      </c>
      <c r="B46" s="62">
        <f>IFERROR(VLOOKUP(A46, Lanches!$A:$C, 3, FALSE),  IFERROR(VLOOKUP(A46, 'Porções'!$A:$C, 3, FALSE),     IFERROR(VLOOKUP(A46, Bebidas!$A:$F, 6, FALSE), IFERROR(VLOOKUP(A46, Sobremesas!$A:$F, 3, FALSE), IFERROR(VLOOKUP(A46, Combos!$A:$F, 2, FALSE), "")))))</f>
        <v>3.323055556</v>
      </c>
      <c r="C46" s="63">
        <v>12.0</v>
      </c>
      <c r="D46" s="63">
        <v>12.9</v>
      </c>
      <c r="E46" s="63">
        <v>12.0</v>
      </c>
      <c r="F46" s="64">
        <f t="shared" si="8"/>
        <v>0.2769212963</v>
      </c>
      <c r="G46" s="64">
        <f t="shared" si="9"/>
        <v>0.2576012059</v>
      </c>
      <c r="H46" s="64">
        <f t="shared" si="10"/>
        <v>0.2769212963</v>
      </c>
    </row>
    <row r="47" ht="15.75" customHeight="1">
      <c r="A47" s="75" t="s">
        <v>36</v>
      </c>
      <c r="B47" s="62">
        <f>IFERROR(VLOOKUP(A47, Lanches!$A:$C, 3, FALSE),  IFERROR(VLOOKUP(A47, 'Porções'!$A:$C, 3, FALSE),     IFERROR(VLOOKUP(A47, Bebidas!$A:$F, 6, FALSE), IFERROR(VLOOKUP(A47, Sobremesas!$A:$F, 3, FALSE), IFERROR(VLOOKUP(A47, Combos!$A:$F, 2, FALSE), "")))))</f>
        <v>3.666666667</v>
      </c>
      <c r="C47" s="63">
        <v>12.0</v>
      </c>
      <c r="D47" s="63">
        <v>12.9</v>
      </c>
      <c r="E47" s="63">
        <v>12.0</v>
      </c>
      <c r="F47" s="64">
        <f t="shared" si="8"/>
        <v>0.3055555556</v>
      </c>
      <c r="G47" s="64">
        <f t="shared" si="9"/>
        <v>0.2842377261</v>
      </c>
      <c r="H47" s="64">
        <f t="shared" si="10"/>
        <v>0.3055555556</v>
      </c>
    </row>
    <row r="48" ht="15.75" customHeight="1">
      <c r="A48" s="75" t="s">
        <v>63</v>
      </c>
      <c r="B48" s="62">
        <f>IFERROR(VLOOKUP(A48, Lanches!$A:$C, 3, FALSE),  IFERROR(VLOOKUP(A48, 'Porções'!$A:$C, 3, FALSE),     IFERROR(VLOOKUP(A48, Bebidas!$A:$F, 6, FALSE), IFERROR(VLOOKUP(A48, Sobremesas!$A:$F, 3, FALSE), IFERROR(VLOOKUP(A48, Combos!$A:$F, 2, FALSE), "")))))</f>
        <v>2.6075</v>
      </c>
      <c r="C48" s="62"/>
      <c r="D48" s="63">
        <v>12.9</v>
      </c>
      <c r="E48" s="63">
        <v>12.0</v>
      </c>
      <c r="F48" s="64" t="str">
        <f t="shared" si="8"/>
        <v/>
      </c>
      <c r="G48" s="64">
        <f t="shared" si="9"/>
        <v>0.2021317829</v>
      </c>
      <c r="H48" s="64">
        <f t="shared" si="10"/>
        <v>0.2172916667</v>
      </c>
    </row>
    <row r="49" ht="15.75" customHeight="1">
      <c r="A49" s="75" t="s">
        <v>40</v>
      </c>
      <c r="B49" s="62">
        <f>IFERROR(VLOOKUP(A49, Lanches!$A:$C, 3, FALSE),  IFERROR(VLOOKUP(A49, 'Porções'!$A:$C, 3, FALSE),     IFERROR(VLOOKUP(A49, Bebidas!$A:$F, 6, FALSE), IFERROR(VLOOKUP(A49, Sobremesas!$A:$F, 3, FALSE), IFERROR(VLOOKUP(A49, Combos!$A:$F, 2, FALSE), "")))))</f>
        <v>4.5</v>
      </c>
      <c r="C49" s="63">
        <v>14.0</v>
      </c>
      <c r="D49" s="63">
        <v>15.0</v>
      </c>
      <c r="E49" s="63">
        <v>14.0</v>
      </c>
      <c r="F49" s="64">
        <f t="shared" si="8"/>
        <v>0.3214285714</v>
      </c>
      <c r="G49" s="64">
        <f t="shared" si="9"/>
        <v>0.3</v>
      </c>
      <c r="H49" s="64">
        <f t="shared" si="10"/>
        <v>0.3214285714</v>
      </c>
    </row>
    <row r="50" ht="15.75" customHeight="1">
      <c r="A50" s="75" t="s">
        <v>43</v>
      </c>
      <c r="B50" s="62">
        <f>IFERROR(VLOOKUP(A50, Lanches!$A:$C, 3, FALSE),  IFERROR(VLOOKUP(A50, 'Porções'!$A:$C, 3, FALSE),     IFERROR(VLOOKUP(A50, Bebidas!$A:$F, 6, FALSE), IFERROR(VLOOKUP(A50, Sobremesas!$A:$F, 3, FALSE), IFERROR(VLOOKUP(A50, Combos!$A:$F, 2, FALSE), "")))))</f>
        <v>5</v>
      </c>
      <c r="C50" s="63">
        <v>14.0</v>
      </c>
      <c r="D50" s="63">
        <v>15.0</v>
      </c>
      <c r="E50" s="63">
        <v>14.0</v>
      </c>
      <c r="F50" s="64">
        <f t="shared" si="8"/>
        <v>0.3571428571</v>
      </c>
      <c r="G50" s="64">
        <f t="shared" si="9"/>
        <v>0.3333333333</v>
      </c>
      <c r="H50" s="64">
        <f t="shared" si="10"/>
        <v>0.3571428571</v>
      </c>
    </row>
    <row r="51" ht="15.75" customHeight="1">
      <c r="A51" s="75" t="s">
        <v>64</v>
      </c>
      <c r="B51" s="62">
        <f>IFERROR(VLOOKUP(A51, Lanches!$A:$C, 3, FALSE),  IFERROR(VLOOKUP(A51, 'Porções'!$A:$C, 3, FALSE),     IFERROR(VLOOKUP(A51, Bebidas!$A:$F, 6, FALSE), IFERROR(VLOOKUP(A51, Sobremesas!$A:$F, 3, FALSE), IFERROR(VLOOKUP(A51, Combos!$A:$F, 2, FALSE), "")))))</f>
        <v>0.05</v>
      </c>
      <c r="C51" s="62"/>
      <c r="D51" s="62"/>
      <c r="E51" s="63">
        <v>14.0</v>
      </c>
      <c r="F51" s="64" t="str">
        <f t="shared" si="8"/>
        <v/>
      </c>
      <c r="G51" s="64" t="str">
        <f t="shared" si="9"/>
        <v/>
      </c>
      <c r="H51" s="64">
        <f t="shared" si="10"/>
        <v>0.003571428571</v>
      </c>
    </row>
    <row r="52" ht="15.75" customHeight="1">
      <c r="A52" s="75" t="s">
        <v>65</v>
      </c>
      <c r="B52" s="62">
        <f>IFERROR(VLOOKUP(A52, Lanches!$A:$C, 3, FALSE),  IFERROR(VLOOKUP(A52, 'Porções'!$A:$C, 3, FALSE),     IFERROR(VLOOKUP(A52, Bebidas!$A:$F, 6, FALSE), IFERROR(VLOOKUP(A52, Sobremesas!$A:$F, 3, FALSE), IFERROR(VLOOKUP(A52, Combos!$A:$F, 2, FALSE), "")))))</f>
        <v>5.800833333</v>
      </c>
      <c r="C52" s="62"/>
      <c r="D52" s="62"/>
      <c r="E52" s="63">
        <v>15.0</v>
      </c>
      <c r="F52" s="64" t="str">
        <f t="shared" si="8"/>
        <v/>
      </c>
      <c r="G52" s="64" t="str">
        <f t="shared" si="9"/>
        <v/>
      </c>
      <c r="H52" s="64">
        <f t="shared" si="10"/>
        <v>0.3867222222</v>
      </c>
    </row>
    <row r="53" ht="15.75" customHeight="1">
      <c r="A53" s="75" t="s">
        <v>66</v>
      </c>
      <c r="B53" s="62">
        <f>IFERROR(VLOOKUP(A53, Lanches!$A:$C, 3, FALSE),  IFERROR(VLOOKUP(A53, 'Porções'!$A:$C, 3, FALSE),     IFERROR(VLOOKUP(A53, Bebidas!$A:$F, 6, FALSE), IFERROR(VLOOKUP(A53, Sobremesas!$A:$F, 3, FALSE), IFERROR(VLOOKUP(A53, Combos!$A:$F, 2, FALSE), "")))))</f>
        <v>7.323333333</v>
      </c>
      <c r="C53" s="62"/>
      <c r="D53" s="62"/>
      <c r="E53" s="63">
        <v>16.0</v>
      </c>
      <c r="F53" s="64" t="str">
        <f t="shared" si="8"/>
        <v/>
      </c>
      <c r="G53" s="64" t="str">
        <f t="shared" si="9"/>
        <v/>
      </c>
      <c r="H53" s="64">
        <f t="shared" si="10"/>
        <v>0.4577083333</v>
      </c>
    </row>
    <row r="54" ht="15.75" customHeight="1">
      <c r="A54" s="75" t="s">
        <v>51</v>
      </c>
      <c r="B54" s="62">
        <f>IFERROR(VLOOKUP(A54, Lanches!$A:$C, 3, FALSE),  IFERROR(VLOOKUP(A54, 'Porções'!$A:$C, 3, FALSE),     IFERROR(VLOOKUP(A54, Bebidas!$A:$F, 6, FALSE), IFERROR(VLOOKUP(A54, Sobremesas!$A:$F, 3, FALSE), IFERROR(VLOOKUP(A54, Combos!$A:$F, 2, FALSE), "")))))</f>
        <v>8.16</v>
      </c>
      <c r="C54" s="63">
        <v>20.0</v>
      </c>
      <c r="D54" s="63">
        <v>22.0</v>
      </c>
      <c r="E54" s="63">
        <v>20.0</v>
      </c>
      <c r="F54" s="64">
        <f t="shared" si="8"/>
        <v>0.408</v>
      </c>
      <c r="G54" s="64">
        <f t="shared" si="9"/>
        <v>0.3709090909</v>
      </c>
      <c r="H54" s="64">
        <f t="shared" si="10"/>
        <v>0.408</v>
      </c>
    </row>
    <row r="55" ht="15.75" customHeight="1">
      <c r="A55" s="75" t="s">
        <v>52</v>
      </c>
      <c r="B55" s="62">
        <f>IFERROR(VLOOKUP(A55, Lanches!$A:$C, 3, FALSE),  IFERROR(VLOOKUP(A55, 'Porções'!$A:$C, 3, FALSE),     IFERROR(VLOOKUP(A55, Bebidas!$A:$F, 6, FALSE), IFERROR(VLOOKUP(A55, Sobremesas!$A:$F, 3, FALSE), IFERROR(VLOOKUP(A55, Combos!$A:$F, 2, FALSE), "")))))</f>
        <v>8.1672</v>
      </c>
      <c r="C55" s="63">
        <v>20.0</v>
      </c>
      <c r="D55" s="63">
        <v>22.0</v>
      </c>
      <c r="E55" s="63">
        <v>20.0</v>
      </c>
      <c r="F55" s="64">
        <f t="shared" si="8"/>
        <v>0.40836</v>
      </c>
      <c r="G55" s="64">
        <f t="shared" si="9"/>
        <v>0.3712363636</v>
      </c>
      <c r="H55" s="64">
        <f t="shared" si="10"/>
        <v>0.40836</v>
      </c>
    </row>
    <row r="56" ht="15.75" customHeight="1">
      <c r="A56" s="76" t="s">
        <v>222</v>
      </c>
      <c r="B56" s="71"/>
      <c r="C56" s="77"/>
      <c r="D56" s="77"/>
      <c r="E56" s="77"/>
      <c r="F56" s="73" t="str">
        <f>IF(OR($B$4="",C56=""),"",$B$4/C56)</f>
        <v/>
      </c>
      <c r="G56" s="73"/>
      <c r="H56" s="73" t="str">
        <f>IF(OR($B$4="",E56=""),"",$B$4/E56)</f>
        <v/>
      </c>
    </row>
    <row r="57" ht="15.75" customHeight="1">
      <c r="A57" s="75" t="s">
        <v>67</v>
      </c>
      <c r="B57" s="62">
        <f>IFERROR(VLOOKUP(A57, Lanches!$A:$C, 3, FALSE),  IFERROR(VLOOKUP(A57, 'Porções'!$A:$C, 3, FALSE),     IFERROR(VLOOKUP(A57, Bebidas!$A:$F, 6, FALSE), IFERROR(VLOOKUP(A57, Sobremesas!$A:$F, 3, FALSE), IFERROR(VLOOKUP(A57, Combos!$A:$F, 2, FALSE), "")))))</f>
        <v>10.62</v>
      </c>
      <c r="C57" s="75"/>
      <c r="D57" s="75"/>
      <c r="E57" s="78">
        <v>32.0</v>
      </c>
      <c r="F57" s="64" t="str">
        <f t="shared" ref="F57:F63" si="11">IF(OR(B57="",C57=""),"",B57/C57)</f>
        <v/>
      </c>
      <c r="G57" s="64" t="str">
        <f t="shared" ref="G57:G63" si="12">IF(OR(B57="",D57=""),"",B57/D57)</f>
        <v/>
      </c>
      <c r="H57" s="64">
        <f t="shared" ref="H57:H63" si="13">IF(OR(B57="",E57=""),"",B57/E57)</f>
        <v>0.331875</v>
      </c>
    </row>
    <row r="58" ht="15.75" customHeight="1">
      <c r="A58" s="75" t="s">
        <v>68</v>
      </c>
      <c r="B58" s="62">
        <f>IFERROR(VLOOKUP(A58, Lanches!$A:$C, 3, FALSE),  IFERROR(VLOOKUP(A58, 'Porções'!$A:$C, 3, FALSE),     IFERROR(VLOOKUP(A58, Bebidas!$A:$F, 6, FALSE), IFERROR(VLOOKUP(A58, Sobremesas!$A:$F, 3, FALSE), IFERROR(VLOOKUP(A58, Combos!$A:$F, 2, FALSE), "")))))</f>
        <v>7.0956</v>
      </c>
      <c r="C58" s="75"/>
      <c r="D58" s="75"/>
      <c r="E58" s="78">
        <v>32.0</v>
      </c>
      <c r="F58" s="64" t="str">
        <f t="shared" si="11"/>
        <v/>
      </c>
      <c r="G58" s="64" t="str">
        <f t="shared" si="12"/>
        <v/>
      </c>
      <c r="H58" s="64">
        <f t="shared" si="13"/>
        <v>0.2217375</v>
      </c>
    </row>
    <row r="59" ht="15.75" customHeight="1">
      <c r="A59" s="79" t="s">
        <v>69</v>
      </c>
      <c r="B59" s="62">
        <f>IFERROR(VLOOKUP(A59, Lanches!$A:$C, 3, FALSE),  IFERROR(VLOOKUP(A59, 'Porções'!$A:$C, 3, FALSE),     IFERROR(VLOOKUP(A59, Bebidas!$A:$F, 6, FALSE), IFERROR(VLOOKUP(A59, Sobremesas!$A:$F, 3, FALSE), IFERROR(VLOOKUP(A59, Combos!$A:$F, 2, FALSE), "")))))</f>
        <v>13.22</v>
      </c>
      <c r="C59" s="75"/>
      <c r="D59" s="75"/>
      <c r="E59" s="78">
        <v>32.0</v>
      </c>
      <c r="F59" s="64" t="str">
        <f t="shared" si="11"/>
        <v/>
      </c>
      <c r="G59" s="64" t="str">
        <f t="shared" si="12"/>
        <v/>
      </c>
      <c r="H59" s="64">
        <f t="shared" si="13"/>
        <v>0.413125</v>
      </c>
    </row>
    <row r="60" ht="15.75" customHeight="1">
      <c r="A60" s="79" t="s">
        <v>70</v>
      </c>
      <c r="B60" s="62">
        <f>IFERROR(VLOOKUP(A60, Lanches!$A:$C, 3, FALSE),  IFERROR(VLOOKUP(A60, 'Porções'!$A:$C, 3, FALSE),     IFERROR(VLOOKUP(A60, Bebidas!$A:$F, 6, FALSE), IFERROR(VLOOKUP(A60, Sobremesas!$A:$F, 3, FALSE), IFERROR(VLOOKUP(A60, Combos!$A:$F, 2, FALSE), "")))))</f>
        <v>14.7378</v>
      </c>
      <c r="C60" s="75"/>
      <c r="D60" s="75"/>
      <c r="E60" s="78">
        <v>25.0</v>
      </c>
      <c r="F60" s="64" t="str">
        <f t="shared" si="11"/>
        <v/>
      </c>
      <c r="G60" s="64" t="str">
        <f t="shared" si="12"/>
        <v/>
      </c>
      <c r="H60" s="64">
        <f t="shared" si="13"/>
        <v>0.589512</v>
      </c>
    </row>
    <row r="61" ht="15.75" customHeight="1">
      <c r="A61" s="75" t="s">
        <v>26</v>
      </c>
      <c r="B61" s="62">
        <f>IFERROR(VLOOKUP(A61, Lanches!$A:$C, 3, FALSE),  IFERROR(VLOOKUP(A61, 'Porções'!$A:$C, 3, FALSE),     IFERROR(VLOOKUP(A61, Bebidas!$A:$F, 6, FALSE), IFERROR(VLOOKUP(A61, Sobremesas!$A:$F, 3, FALSE), IFERROR(VLOOKUP(A61, Combos!$A:$F, 2, FALSE), "")))))</f>
        <v>4.76</v>
      </c>
      <c r="C61" s="78">
        <v>20.0</v>
      </c>
      <c r="D61" s="78">
        <v>25.0</v>
      </c>
      <c r="E61" s="75"/>
      <c r="F61" s="64">
        <f t="shared" si="11"/>
        <v>0.238</v>
      </c>
      <c r="G61" s="64">
        <f t="shared" si="12"/>
        <v>0.1904</v>
      </c>
      <c r="H61" s="64" t="str">
        <f t="shared" si="13"/>
        <v/>
      </c>
    </row>
    <row r="62" ht="15.75" customHeight="1">
      <c r="A62" s="79" t="s">
        <v>53</v>
      </c>
      <c r="B62" s="62">
        <f>IFERROR(VLOOKUP(A62, Lanches!$A:$C, 3, FALSE),  IFERROR(VLOOKUP(A62, 'Porções'!$A:$C, 3, FALSE),     IFERROR(VLOOKUP(A62, Bebidas!$A:$F, 6, FALSE), IFERROR(VLOOKUP(A62, Sobremesas!$A:$F, 3, FALSE), IFERROR(VLOOKUP(A62, Combos!$A:$F, 2, FALSE), "")))))</f>
        <v>6.5</v>
      </c>
      <c r="C62" s="78">
        <v>14.0</v>
      </c>
      <c r="D62" s="78">
        <v>16.0</v>
      </c>
      <c r="E62" s="78">
        <v>14.0</v>
      </c>
      <c r="F62" s="64">
        <f t="shared" si="11"/>
        <v>0.4642857143</v>
      </c>
      <c r="G62" s="64">
        <f t="shared" si="12"/>
        <v>0.40625</v>
      </c>
      <c r="H62" s="64">
        <f t="shared" si="13"/>
        <v>0.4642857143</v>
      </c>
    </row>
    <row r="63" ht="15.75" customHeight="1">
      <c r="A63" s="79" t="s">
        <v>71</v>
      </c>
      <c r="B63" s="62">
        <f>IFERROR(VLOOKUP(A63, Lanches!$A:$C, 3, FALSE),  IFERROR(VLOOKUP(A63, 'Porções'!$A:$C, 3, FALSE),     IFERROR(VLOOKUP(A63, Bebidas!$A:$F, 6, FALSE), IFERROR(VLOOKUP(A63, Sobremesas!$A:$F, 3, FALSE), IFERROR(VLOOKUP(A63, Combos!$A:$F, 2, FALSE), "")))))</f>
        <v>6.5</v>
      </c>
      <c r="C63" s="75"/>
      <c r="D63" s="80">
        <v>16.0</v>
      </c>
      <c r="E63" s="78">
        <v>14.0</v>
      </c>
      <c r="F63" s="64" t="str">
        <f t="shared" si="11"/>
        <v/>
      </c>
      <c r="G63" s="64">
        <f t="shared" si="12"/>
        <v>0.40625</v>
      </c>
      <c r="H63" s="64">
        <f t="shared" si="13"/>
        <v>0.4642857143</v>
      </c>
    </row>
    <row r="64" ht="15.75" customHeight="1">
      <c r="A64" s="81" t="s">
        <v>223</v>
      </c>
      <c r="B64" s="82"/>
      <c r="C64" s="83"/>
      <c r="D64" s="83"/>
      <c r="E64" s="83"/>
      <c r="F64" s="73"/>
      <c r="G64" s="73"/>
      <c r="H64" s="73"/>
    </row>
    <row r="65" ht="15.75" customHeight="1">
      <c r="A65" s="84" t="s">
        <v>73</v>
      </c>
      <c r="B65" s="62">
        <f>IFERROR(VLOOKUP(A65, Lanches!$A:$C, 3, FALSE),  IFERROR(VLOOKUP(A65, 'Porções'!$A:$C, 3, FALSE),     IFERROR(VLOOKUP(A65, Bebidas!$A:$F, 6, FALSE), IFERROR(VLOOKUP(A65, Sobremesas!$A:$F, 3, FALSE), IFERROR(VLOOKUP(A65, Combos!$A:$F, 2, FALSE), "")))))</f>
        <v>7.886018151</v>
      </c>
      <c r="C65" s="67">
        <v>35.5</v>
      </c>
      <c r="D65" s="85"/>
      <c r="E65" s="67">
        <v>39.0</v>
      </c>
      <c r="F65" s="64">
        <f t="shared" ref="F65:F74" si="14">IF(OR(B65="",C65=""),"",B65/C65)</f>
        <v>0.2221413564</v>
      </c>
      <c r="G65" s="64" t="str">
        <f t="shared" ref="G65:G74" si="15">IF(OR(B65="",D65=""),"",B65/D65)</f>
        <v/>
      </c>
      <c r="H65" s="64">
        <f t="shared" ref="H65:H74" si="16">IF(OR(B65="",E65=""),"",B65/E65)</f>
        <v>0.2022055936</v>
      </c>
    </row>
    <row r="66" ht="15.75" customHeight="1">
      <c r="A66" s="84" t="s">
        <v>74</v>
      </c>
      <c r="B66" s="62">
        <f>IFERROR(VLOOKUP(A66, Lanches!$A:$C, 3, FALSE),  IFERROR(VLOOKUP(A66, 'Porções'!$A:$C, 3, FALSE),     IFERROR(VLOOKUP(A66, Bebidas!$A:$F, 6, FALSE), IFERROR(VLOOKUP(A66, Sobremesas!$A:$F, 3, FALSE), IFERROR(VLOOKUP(A66, Combos!$A:$F, 2, FALSE), "")))))</f>
        <v>8.187414204</v>
      </c>
      <c r="C66" s="67">
        <v>55.0</v>
      </c>
      <c r="D66" s="85"/>
      <c r="E66" s="85"/>
      <c r="F66" s="64">
        <f t="shared" si="14"/>
        <v>0.1488620764</v>
      </c>
      <c r="G66" s="64" t="str">
        <f t="shared" si="15"/>
        <v/>
      </c>
      <c r="H66" s="64" t="str">
        <f t="shared" si="16"/>
        <v/>
      </c>
    </row>
    <row r="67" ht="15.75" customHeight="1">
      <c r="A67" s="84" t="s">
        <v>75</v>
      </c>
      <c r="B67" s="62">
        <f>IFERROR(VLOOKUP(A67, Lanches!$A:$C, 3, FALSE),  IFERROR(VLOOKUP(A67, 'Porções'!$A:$C, 3, FALSE),     IFERROR(VLOOKUP(A67, Bebidas!$A:$F, 6, FALSE), IFERROR(VLOOKUP(A67, Sobremesas!$A:$F, 3, FALSE), IFERROR(VLOOKUP(A67, Combos!$A:$F, 2, FALSE), "")))))</f>
        <v>20.33973856</v>
      </c>
      <c r="C67" s="67">
        <v>79.9</v>
      </c>
      <c r="D67" s="67">
        <v>101.7</v>
      </c>
      <c r="E67" s="67">
        <v>78.0</v>
      </c>
      <c r="F67" s="64">
        <f t="shared" si="14"/>
        <v>0.2545649381</v>
      </c>
      <c r="G67" s="64">
        <f t="shared" si="15"/>
        <v>0.1999974293</v>
      </c>
      <c r="H67" s="64">
        <f t="shared" si="16"/>
        <v>0.2607658789</v>
      </c>
    </row>
    <row r="68" ht="15.75" customHeight="1">
      <c r="A68" s="84" t="s">
        <v>76</v>
      </c>
      <c r="B68" s="62">
        <f>IFERROR(VLOOKUP(A68, Lanches!$A:$C, 3, FALSE),  IFERROR(VLOOKUP(A68, 'Porções'!$A:$C, 3, FALSE),     IFERROR(VLOOKUP(A68, Bebidas!$A:$F, 6, FALSE), IFERROR(VLOOKUP(A68, Sobremesas!$A:$F, 3, FALSE), IFERROR(VLOOKUP(A68, Combos!$A:$F, 2, FALSE), "")))))</f>
        <v>15.15492891</v>
      </c>
      <c r="C68" s="67">
        <v>63.0</v>
      </c>
      <c r="D68" s="67">
        <v>80.7</v>
      </c>
      <c r="E68" s="67">
        <v>63.0</v>
      </c>
      <c r="F68" s="64">
        <f t="shared" si="14"/>
        <v>0.2405544271</v>
      </c>
      <c r="G68" s="64">
        <f t="shared" si="15"/>
        <v>0.1877934189</v>
      </c>
      <c r="H68" s="64">
        <f t="shared" si="16"/>
        <v>0.2405544271</v>
      </c>
    </row>
    <row r="69" ht="15.75" customHeight="1">
      <c r="A69" s="84" t="s">
        <v>77</v>
      </c>
      <c r="B69" s="62">
        <f>IFERROR(VLOOKUP(A69, Lanches!$A:$C, 3, FALSE),  IFERROR(VLOOKUP(A69, 'Porções'!$A:$C, 3, FALSE),     IFERROR(VLOOKUP(A69, Bebidas!$A:$F, 6, FALSE), IFERROR(VLOOKUP(A69, Sobremesas!$A:$F, 3, FALSE), IFERROR(VLOOKUP(A69, Combos!$A:$F, 2, FALSE), "")))))</f>
        <v>14.66936356</v>
      </c>
      <c r="C69" s="67">
        <v>59.0</v>
      </c>
      <c r="D69" s="67">
        <v>78.9</v>
      </c>
      <c r="E69" s="67">
        <v>59.0</v>
      </c>
      <c r="F69" s="64">
        <f t="shared" si="14"/>
        <v>0.2486332806</v>
      </c>
      <c r="G69" s="64">
        <f t="shared" si="15"/>
        <v>0.1859234925</v>
      </c>
      <c r="H69" s="64">
        <f t="shared" si="16"/>
        <v>0.2486332806</v>
      </c>
    </row>
    <row r="70" ht="15.75" customHeight="1">
      <c r="A70" s="84" t="s">
        <v>78</v>
      </c>
      <c r="B70" s="62">
        <f>IFERROR(VLOOKUP(A70, Lanches!$A:$C, 3, FALSE),  IFERROR(VLOOKUP(A70, 'Porções'!$A:$C, 3, FALSE),     IFERROR(VLOOKUP(A70, Bebidas!$A:$F, 6, FALSE), IFERROR(VLOOKUP(A70, Sobremesas!$A:$F, 3, FALSE), IFERROR(VLOOKUP(A70, Combos!$A:$F, 2, FALSE), "")))))</f>
        <v>14.32498356</v>
      </c>
      <c r="C70" s="67">
        <v>58.0</v>
      </c>
      <c r="D70" s="67">
        <v>88.0</v>
      </c>
      <c r="E70" s="67">
        <v>58.0</v>
      </c>
      <c r="F70" s="64">
        <f t="shared" si="14"/>
        <v>0.2469824751</v>
      </c>
      <c r="G70" s="64">
        <f t="shared" si="15"/>
        <v>0.1627839041</v>
      </c>
      <c r="H70" s="64">
        <f t="shared" si="16"/>
        <v>0.2469824751</v>
      </c>
    </row>
    <row r="71" ht="15.75" customHeight="1">
      <c r="A71" s="84" t="s">
        <v>79</v>
      </c>
      <c r="B71" s="62">
        <f>IFERROR(VLOOKUP(A71, Lanches!$A:$C, 3, FALSE),  IFERROR(VLOOKUP(A71, 'Porções'!$A:$C, 3, FALSE),     IFERROR(VLOOKUP(A71, Bebidas!$A:$F, 6, FALSE), IFERROR(VLOOKUP(A71, Sobremesas!$A:$F, 3, FALSE), IFERROR(VLOOKUP(A71, Combos!$A:$F, 2, FALSE), "")))))</f>
        <v>11.41957815</v>
      </c>
      <c r="C71" s="85"/>
      <c r="D71" s="85"/>
      <c r="E71" s="67">
        <v>45.0</v>
      </c>
      <c r="F71" s="64" t="str">
        <f t="shared" si="14"/>
        <v/>
      </c>
      <c r="G71" s="64" t="str">
        <f t="shared" si="15"/>
        <v/>
      </c>
      <c r="H71" s="64">
        <f t="shared" si="16"/>
        <v>0.2537684034</v>
      </c>
    </row>
    <row r="72" ht="15.75" customHeight="1">
      <c r="A72" s="84" t="s">
        <v>80</v>
      </c>
      <c r="B72" s="62">
        <f>IFERROR(VLOOKUP(A72, Lanches!$A:$C, 3, FALSE),  IFERROR(VLOOKUP(A72, 'Porções'!$A:$C, 3, FALSE),     IFERROR(VLOOKUP(A72, Bebidas!$A:$F, 6, FALSE), IFERROR(VLOOKUP(A72, Sobremesas!$A:$F, 3, FALSE), IFERROR(VLOOKUP(A72, Combos!$A:$F, 2, FALSE), "")))))</f>
        <v>15.79754356</v>
      </c>
      <c r="C72" s="67">
        <v>59.0</v>
      </c>
      <c r="D72" s="67">
        <v>86.9</v>
      </c>
      <c r="E72" s="67">
        <v>59.0</v>
      </c>
      <c r="F72" s="64">
        <f t="shared" si="14"/>
        <v>0.2677549755</v>
      </c>
      <c r="G72" s="64">
        <f t="shared" si="15"/>
        <v>0.1817899143</v>
      </c>
      <c r="H72" s="64">
        <f t="shared" si="16"/>
        <v>0.2677549755</v>
      </c>
    </row>
    <row r="73" ht="15.75" customHeight="1">
      <c r="A73" s="84" t="s">
        <v>81</v>
      </c>
      <c r="B73" s="62">
        <f>IFERROR(VLOOKUP(A73, Lanches!$A:$C, 3, FALSE),  IFERROR(VLOOKUP(A73, 'Porções'!$A:$C, 3, FALSE),     IFERROR(VLOOKUP(A73, Bebidas!$A:$F, 6, FALSE), IFERROR(VLOOKUP(A73, Sobremesas!$A:$F, 3, FALSE), IFERROR(VLOOKUP(A73, Combos!$A:$F, 2, FALSE), "")))))</f>
        <v>15.2493938</v>
      </c>
      <c r="C73" s="67">
        <v>63.0</v>
      </c>
      <c r="D73" s="67">
        <v>78.9</v>
      </c>
      <c r="E73" s="67">
        <v>63.0</v>
      </c>
      <c r="F73" s="64">
        <f t="shared" si="14"/>
        <v>0.2420538698</v>
      </c>
      <c r="G73" s="64">
        <f t="shared" si="15"/>
        <v>0.1932749531</v>
      </c>
      <c r="H73" s="64">
        <f t="shared" si="16"/>
        <v>0.2420538698</v>
      </c>
    </row>
    <row r="74" ht="15.75" customHeight="1">
      <c r="A74" s="84" t="s">
        <v>82</v>
      </c>
      <c r="B74" s="62">
        <f>IFERROR(VLOOKUP(A74, Lanches!$A:$C, 3, FALSE),  IFERROR(VLOOKUP(A74, 'Porções'!$A:$C, 3, FALSE),     IFERROR(VLOOKUP(A74, Bebidas!$A:$F, 6, FALSE), IFERROR(VLOOKUP(A74, Sobremesas!$A:$F, 3, FALSE), IFERROR(VLOOKUP(A74, Combos!$A:$F, 2, FALSE), "")))))</f>
        <v>12.21757769</v>
      </c>
      <c r="C74" s="67">
        <v>63.0</v>
      </c>
      <c r="D74" s="67">
        <v>78.9</v>
      </c>
      <c r="E74" s="67">
        <v>63.0</v>
      </c>
      <c r="F74" s="64">
        <f t="shared" si="14"/>
        <v>0.1939298046</v>
      </c>
      <c r="G74" s="64">
        <f t="shared" si="15"/>
        <v>0.1548488934</v>
      </c>
      <c r="H74" s="64">
        <f t="shared" si="16"/>
        <v>0.1939298046</v>
      </c>
    </row>
    <row r="75" ht="15.75" customHeight="1">
      <c r="A75" s="81" t="s">
        <v>224</v>
      </c>
      <c r="B75" s="82"/>
      <c r="C75" s="83"/>
      <c r="D75" s="86"/>
      <c r="E75" s="83"/>
      <c r="F75" s="73"/>
      <c r="G75" s="73"/>
      <c r="H75" s="73"/>
    </row>
    <row r="76" ht="15.75" customHeight="1">
      <c r="A76" s="15" t="s">
        <v>84</v>
      </c>
      <c r="B76" s="87">
        <f>IFERROR(VLOOKUP(A76, Lanches!$A:$C, 3, FALSE),  IFERROR(VLOOKUP(A76, 'Porções'!$A:$C, 3, FALSE),     IFERROR(VLOOKUP(A76, Bebidas!$A:$F, 6, FALSE), IFERROR(VLOOKUP(A76, Sobremesas!$A:$F, 3, FALSE), IFERROR(VLOOKUP(A76, Combos!$A:$F, 2, FALSE), IFERROR(VLOOKUP(A76, Preparos!$A:$F, 4, FALSE), ""))))))</f>
        <v>1.0305</v>
      </c>
      <c r="C76" s="15">
        <v>4.0</v>
      </c>
      <c r="D76" s="15">
        <v>6.0</v>
      </c>
      <c r="E76" s="15">
        <v>4.0</v>
      </c>
      <c r="F76" s="17">
        <f t="shared" ref="F76:F83" si="17">IF(OR(B76="",C76=""),"",B76/C76)</f>
        <v>0.257625</v>
      </c>
      <c r="G76" s="17">
        <f t="shared" ref="G76:G83" si="18">IF(OR(B76="",D76=""),"",B76/D76)</f>
        <v>0.17175</v>
      </c>
      <c r="H76" s="17">
        <f t="shared" ref="H76:H83" si="19">IF(OR(B76="",E76=""),"",B76/E76)</f>
        <v>0.257625</v>
      </c>
    </row>
    <row r="77" ht="15.75" customHeight="1">
      <c r="A77" s="15" t="s">
        <v>85</v>
      </c>
      <c r="B77" s="87">
        <f>IFERROR(VLOOKUP(A77, Lanches!$A:$C, 3, FALSE),  IFERROR(VLOOKUP(A77, 'Porções'!$A:$C, 3, FALSE),     IFERROR(VLOOKUP(A77, Bebidas!$A:$F, 6, FALSE), IFERROR(VLOOKUP(A77, Sobremesas!$A:$F, 3, FALSE), IFERROR(VLOOKUP(A77, Combos!$A:$F, 2, FALSE), IFERROR(VLOOKUP(A77, Preparos!$A:$F, 4, FALSE), ""))))))</f>
        <v>1.144375</v>
      </c>
      <c r="C77" s="15">
        <v>4.0</v>
      </c>
      <c r="D77" s="15">
        <v>5.0</v>
      </c>
      <c r="E77" s="15">
        <v>4.0</v>
      </c>
      <c r="F77" s="17">
        <f t="shared" si="17"/>
        <v>0.28609375</v>
      </c>
      <c r="G77" s="17">
        <f t="shared" si="18"/>
        <v>0.228875</v>
      </c>
      <c r="H77" s="17">
        <f t="shared" si="19"/>
        <v>0.28609375</v>
      </c>
    </row>
    <row r="78" ht="15.75" customHeight="1">
      <c r="A78" s="15" t="s">
        <v>86</v>
      </c>
      <c r="B78" s="87">
        <f>IFERROR(VLOOKUP(A78, Lanches!$A:$C, 3, FALSE),  IFERROR(VLOOKUP(A78, 'Porções'!$A:$C, 3, FALSE),     IFERROR(VLOOKUP(A78, Bebidas!$A:$F, 6, FALSE), IFERROR(VLOOKUP(A78, Sobremesas!$A:$F, 3, FALSE), IFERROR(VLOOKUP(A78, Combos!$A:$F, 2, FALSE), IFERROR(VLOOKUP(A78, Preparos!$A:$F, 4, FALSE), ""))))))</f>
        <v>2.905405405</v>
      </c>
      <c r="C78" s="15">
        <v>6.0</v>
      </c>
      <c r="D78" s="15">
        <v>9.0</v>
      </c>
      <c r="E78" s="15">
        <v>6.0</v>
      </c>
      <c r="F78" s="17">
        <f t="shared" si="17"/>
        <v>0.4842342342</v>
      </c>
      <c r="G78" s="17">
        <f t="shared" si="18"/>
        <v>0.3228228228</v>
      </c>
      <c r="H78" s="17">
        <f t="shared" si="19"/>
        <v>0.4842342342</v>
      </c>
    </row>
    <row r="79" ht="15.75" customHeight="1">
      <c r="A79" s="15" t="s">
        <v>87</v>
      </c>
      <c r="B79" s="87">
        <f>IFERROR(VLOOKUP(A79, Lanches!$A:$C, 3, FALSE),  IFERROR(VLOOKUP(A79, 'Porções'!$A:$C, 3, FALSE),     IFERROR(VLOOKUP(A79, Bebidas!$A:$F, 6, FALSE), IFERROR(VLOOKUP(A79, Sobremesas!$A:$F, 3, FALSE), IFERROR(VLOOKUP(A79, Combos!$A:$F, 2, FALSE), IFERROR(VLOOKUP(A79, Preparos!$A:$F, 4, FALSE), ""))))))</f>
        <v>1.188</v>
      </c>
      <c r="C79" s="15">
        <v>7.0</v>
      </c>
      <c r="D79" s="15">
        <v>9.0</v>
      </c>
      <c r="E79" s="15">
        <v>7.0</v>
      </c>
      <c r="F79" s="17">
        <f t="shared" si="17"/>
        <v>0.1697142857</v>
      </c>
      <c r="G79" s="17">
        <f t="shared" si="18"/>
        <v>0.132</v>
      </c>
      <c r="H79" s="17">
        <f t="shared" si="19"/>
        <v>0.1697142857</v>
      </c>
    </row>
    <row r="80" ht="15.75" customHeight="1">
      <c r="A80" s="15" t="s">
        <v>88</v>
      </c>
      <c r="B80" s="87">
        <f>IFERROR(VLOOKUP(A80, Lanches!$A:$C, 3, FALSE),  IFERROR(VLOOKUP(A80, 'Porções'!$A:$C, 3, FALSE),     IFERROR(VLOOKUP(A80, Bebidas!$A:$F, 6, FALSE), IFERROR(VLOOKUP(A80, Sobremesas!$A:$F, 3, FALSE), IFERROR(VLOOKUP(A80, Combos!$A:$F, 2, FALSE), IFERROR(VLOOKUP(A80, Preparos!$A:$F, 4, FALSE), ""))))))</f>
        <v>3.27164601</v>
      </c>
      <c r="C80" s="15">
        <v>6.0</v>
      </c>
      <c r="D80" s="15">
        <v>8.0</v>
      </c>
      <c r="E80" s="15">
        <v>6.0</v>
      </c>
      <c r="F80" s="17">
        <f t="shared" si="17"/>
        <v>0.545274335</v>
      </c>
      <c r="G80" s="17">
        <f t="shared" si="18"/>
        <v>0.4089557512</v>
      </c>
      <c r="H80" s="17">
        <f t="shared" si="19"/>
        <v>0.545274335</v>
      </c>
    </row>
    <row r="81" ht="15.75" customHeight="1">
      <c r="A81" s="15" t="s">
        <v>89</v>
      </c>
      <c r="B81" s="87">
        <f>IFERROR(VLOOKUP(A81, Lanches!$A:$C, 3, FALSE),  IFERROR(VLOOKUP(A81, 'Porções'!$A:$C, 3, FALSE),     IFERROR(VLOOKUP(A81, Bebidas!$A:$F, 6, FALSE), IFERROR(VLOOKUP(A81, Sobremesas!$A:$F, 3, FALSE), IFERROR(VLOOKUP(A81, Combos!$A:$F, 2, FALSE), IFERROR(VLOOKUP(A81, Preparos!$A:$F, 4, FALSE), ""))))))</f>
        <v>1.00772</v>
      </c>
      <c r="C81" s="15">
        <v>5.0</v>
      </c>
      <c r="D81" s="15">
        <v>6.0</v>
      </c>
      <c r="E81" s="15">
        <v>5.0</v>
      </c>
      <c r="F81" s="17">
        <f t="shared" si="17"/>
        <v>0.201544</v>
      </c>
      <c r="G81" s="17">
        <f t="shared" si="18"/>
        <v>0.1679533333</v>
      </c>
      <c r="H81" s="17">
        <f t="shared" si="19"/>
        <v>0.201544</v>
      </c>
    </row>
    <row r="82" ht="15.75" customHeight="1">
      <c r="A82" s="15" t="s">
        <v>90</v>
      </c>
      <c r="B82" s="87">
        <f>IFERROR(VLOOKUP(A82, Lanches!$A:$C, 3, FALSE),  IFERROR(VLOOKUP(A82, 'Porções'!$A:$C, 3, FALSE),     IFERROR(VLOOKUP(A82, Bebidas!$A:$F, 6, FALSE), IFERROR(VLOOKUP(A82, Sobremesas!$A:$F, 3, FALSE), IFERROR(VLOOKUP(A82, Combos!$A:$F, 2, FALSE), IFERROR(VLOOKUP(A82, Preparos!$A:$F, 4, FALSE), ""))))))</f>
        <v>1.3596</v>
      </c>
      <c r="C82" s="15">
        <v>5.0</v>
      </c>
      <c r="D82" s="15">
        <v>6.0</v>
      </c>
      <c r="E82" s="15">
        <v>5.0</v>
      </c>
      <c r="F82" s="17">
        <f t="shared" si="17"/>
        <v>0.27192</v>
      </c>
      <c r="G82" s="17">
        <f t="shared" si="18"/>
        <v>0.2266</v>
      </c>
      <c r="H82" s="17">
        <f t="shared" si="19"/>
        <v>0.27192</v>
      </c>
    </row>
    <row r="83" ht="15.75" customHeight="1">
      <c r="A83" s="88" t="s">
        <v>172</v>
      </c>
      <c r="B83" s="87">
        <f>IFERROR(VLOOKUP(A83, Lanches!$A:$C, 3, FALSE),  IFERROR(VLOOKUP(A83, 'Porções'!$A:$C, 3, FALSE),     IFERROR(VLOOKUP(A83, Bebidas!$A:$F, 6, FALSE), IFERROR(VLOOKUP(A83, Sobremesas!$A:$F, 3, FALSE), IFERROR(VLOOKUP(A83, Combos!$A:$F, 2, FALSE), IFERROR(VLOOKUP(A83, Preparos!$A:$F, 4, FALSE), ""))))))</f>
        <v>0.5008453497</v>
      </c>
      <c r="C83" s="15">
        <v>6.0</v>
      </c>
      <c r="D83" s="15">
        <v>8.0</v>
      </c>
      <c r="E83" s="15">
        <v>6.0</v>
      </c>
      <c r="F83" s="17">
        <f t="shared" si="17"/>
        <v>0.08347422495</v>
      </c>
      <c r="G83" s="17">
        <f t="shared" si="18"/>
        <v>0.06260566871</v>
      </c>
      <c r="H83" s="17">
        <f t="shared" si="19"/>
        <v>0.08347422495</v>
      </c>
    </row>
    <row r="84" ht="15.75" customHeight="1">
      <c r="A84" s="89" t="s">
        <v>225</v>
      </c>
      <c r="B84" s="90"/>
      <c r="C84" s="91"/>
      <c r="D84" s="92"/>
      <c r="E84" s="91"/>
      <c r="F84" s="93"/>
      <c r="G84" s="93"/>
      <c r="H84" s="93"/>
    </row>
    <row r="85" ht="15.75" customHeight="1">
      <c r="A85" s="94" t="s">
        <v>213</v>
      </c>
      <c r="B85" s="87">
        <f>IFERROR(VLOOKUP(A85, Lanches!$A:$C, 3, FALSE),  IFERROR(VLOOKUP(A85, 'Porções'!$A:$C, 3, FALSE),     IFERROR(VLOOKUP(A85, Bebidas!$A:$F, 6, FALSE), IFERROR(VLOOKUP(A85, Sobremesas!$A:$F, 3, FALSE), IFERROR(VLOOKUP(A85, Combos!$A:$F, 2, FALSE), IFERROR(VLOOKUP(A85, Preparos!$A:$F, 4, FALSE), ""))))))</f>
        <v>19.99794586</v>
      </c>
      <c r="C85" s="95">
        <v>52.99</v>
      </c>
      <c r="F85" s="17">
        <f t="shared" ref="F85:F92" si="20">IF(OR(B85="",C85=""),"",B85/C85)</f>
        <v>0.3773909391</v>
      </c>
      <c r="G85" s="17" t="str">
        <f t="shared" ref="G85:G92" si="21">IF(OR(B85="",D85=""),"",B85/D85)</f>
        <v/>
      </c>
      <c r="H85" s="17" t="str">
        <f t="shared" ref="H85:H92" si="22">IF(OR(B85="",E85=""),"",B85/E85)</f>
        <v/>
      </c>
    </row>
    <row r="86" ht="15.75" customHeight="1">
      <c r="A86" s="94" t="s">
        <v>214</v>
      </c>
      <c r="B86" s="87">
        <f>IFERROR(VLOOKUP(A86, Lanches!$A:$C, 3, FALSE),  IFERROR(VLOOKUP(A86, 'Porções'!$A:$C, 3, FALSE),     IFERROR(VLOOKUP(A86, Bebidas!$A:$F, 6, FALSE), IFERROR(VLOOKUP(A86, Sobremesas!$A:$F, 3, FALSE), IFERROR(VLOOKUP(A86, Combos!$A:$F, 2, FALSE), IFERROR(VLOOKUP(A86, Preparos!$A:$F, 4, FALSE), ""))))))</f>
        <v>16.01076632</v>
      </c>
      <c r="C86" s="95">
        <v>48.99</v>
      </c>
      <c r="F86" s="17">
        <f t="shared" si="20"/>
        <v>0.3268170305</v>
      </c>
      <c r="G86" s="17" t="str">
        <f t="shared" si="21"/>
        <v/>
      </c>
      <c r="H86" s="17" t="str">
        <f t="shared" si="22"/>
        <v/>
      </c>
    </row>
    <row r="87" ht="15.75" customHeight="1">
      <c r="A87" s="94" t="s">
        <v>215</v>
      </c>
      <c r="B87" s="87">
        <f>IFERROR(VLOOKUP(A87, Lanches!$A:$C, 3, FALSE),  IFERROR(VLOOKUP(A87, 'Porções'!$A:$C, 3, FALSE),     IFERROR(VLOOKUP(A87, Bebidas!$A:$F, 6, FALSE), IFERROR(VLOOKUP(A87, Sobremesas!$A:$F, 3, FALSE), IFERROR(VLOOKUP(A87, Combos!$A:$F, 2, FALSE), IFERROR(VLOOKUP(A87, Preparos!$A:$F, 4, FALSE), ""))))))</f>
        <v>19.09385657</v>
      </c>
      <c r="C87" s="95">
        <v>55.99</v>
      </c>
      <c r="F87" s="17">
        <f t="shared" si="20"/>
        <v>0.3410226213</v>
      </c>
      <c r="G87" s="17" t="str">
        <f t="shared" si="21"/>
        <v/>
      </c>
      <c r="H87" s="17" t="str">
        <f t="shared" si="22"/>
        <v/>
      </c>
    </row>
    <row r="88" ht="15.75" customHeight="1">
      <c r="A88" s="94" t="s">
        <v>216</v>
      </c>
      <c r="B88" s="87">
        <f>IFERROR(VLOOKUP(A88, Lanches!$A:$C, 3, FALSE),  IFERROR(VLOOKUP(A88, 'Porções'!$A:$C, 3, FALSE),     IFERROR(VLOOKUP(A88, Bebidas!$A:$F, 6, FALSE), IFERROR(VLOOKUP(A88, Sobremesas!$A:$F, 3, FALSE), IFERROR(VLOOKUP(A88, Combos!$A:$F, 2, FALSE), IFERROR(VLOOKUP(A88, Preparos!$A:$F, 4, FALSE), ""))))))</f>
        <v>35.25676319</v>
      </c>
      <c r="C88" s="95">
        <v>91.99</v>
      </c>
      <c r="F88" s="17">
        <f t="shared" si="20"/>
        <v>0.3832673463</v>
      </c>
      <c r="G88" s="17" t="str">
        <f t="shared" si="21"/>
        <v/>
      </c>
      <c r="H88" s="17" t="str">
        <f t="shared" si="22"/>
        <v/>
      </c>
    </row>
    <row r="89" ht="15.75" customHeight="1">
      <c r="F89" s="17" t="str">
        <f t="shared" si="20"/>
        <v/>
      </c>
      <c r="G89" s="17" t="str">
        <f t="shared" si="21"/>
        <v/>
      </c>
      <c r="H89" s="17" t="str">
        <f t="shared" si="22"/>
        <v/>
      </c>
    </row>
    <row r="90" ht="15.75" customHeight="1">
      <c r="F90" s="17" t="str">
        <f t="shared" si="20"/>
        <v/>
      </c>
      <c r="G90" s="17" t="str">
        <f t="shared" si="21"/>
        <v/>
      </c>
      <c r="H90" s="17" t="str">
        <f t="shared" si="22"/>
        <v/>
      </c>
    </row>
    <row r="91" ht="15.75" customHeight="1">
      <c r="F91" s="17" t="str">
        <f t="shared" si="20"/>
        <v/>
      </c>
      <c r="G91" s="17" t="str">
        <f t="shared" si="21"/>
        <v/>
      </c>
      <c r="H91" s="17" t="str">
        <f t="shared" si="22"/>
        <v/>
      </c>
    </row>
    <row r="92" ht="15.75" customHeight="1">
      <c r="F92" s="17" t="str">
        <f t="shared" si="20"/>
        <v/>
      </c>
      <c r="G92" s="17" t="str">
        <f t="shared" si="21"/>
        <v/>
      </c>
      <c r="H92" s="17" t="str">
        <f t="shared" si="22"/>
        <v/>
      </c>
    </row>
    <row r="93" ht="15.75" customHeight="1">
      <c r="H93" s="18" t="str">
        <f t="shared" ref="H93:H999" si="23">IF(OR($B$4="",E93=""),"",$B$4/E93)</f>
        <v/>
      </c>
    </row>
    <row r="94" ht="15.75" customHeight="1">
      <c r="H94" s="18" t="str">
        <f t="shared" si="23"/>
        <v/>
      </c>
    </row>
    <row r="95" ht="15.75" customHeight="1">
      <c r="H95" s="18" t="str">
        <f t="shared" si="23"/>
        <v/>
      </c>
    </row>
    <row r="96" ht="15.75" customHeight="1">
      <c r="H96" s="18" t="str">
        <f t="shared" si="23"/>
        <v/>
      </c>
    </row>
    <row r="97" ht="15.75" customHeight="1">
      <c r="H97" s="18" t="str">
        <f t="shared" si="23"/>
        <v/>
      </c>
    </row>
    <row r="98" ht="15.75" customHeight="1">
      <c r="H98" s="18" t="str">
        <f t="shared" si="23"/>
        <v/>
      </c>
    </row>
    <row r="99" ht="15.75" customHeight="1">
      <c r="H99" s="18" t="str">
        <f t="shared" si="23"/>
        <v/>
      </c>
    </row>
    <row r="100" ht="15.75" customHeight="1">
      <c r="H100" s="18" t="str">
        <f t="shared" si="23"/>
        <v/>
      </c>
    </row>
    <row r="101" ht="15.75" customHeight="1">
      <c r="H101" s="18" t="str">
        <f t="shared" si="23"/>
        <v/>
      </c>
    </row>
    <row r="102" ht="15.75" customHeight="1">
      <c r="H102" s="18" t="str">
        <f t="shared" si="23"/>
        <v/>
      </c>
    </row>
    <row r="103" ht="15.75" customHeight="1">
      <c r="H103" s="18" t="str">
        <f t="shared" si="23"/>
        <v/>
      </c>
    </row>
    <row r="104" ht="15.75" customHeight="1">
      <c r="H104" s="18" t="str">
        <f t="shared" si="23"/>
        <v/>
      </c>
    </row>
    <row r="105" ht="15.75" customHeight="1">
      <c r="H105" s="18" t="str">
        <f t="shared" si="23"/>
        <v/>
      </c>
    </row>
    <row r="106" ht="15.75" customHeight="1">
      <c r="H106" s="18" t="str">
        <f t="shared" si="23"/>
        <v/>
      </c>
    </row>
    <row r="107" ht="15.75" customHeight="1">
      <c r="H107" s="18" t="str">
        <f t="shared" si="23"/>
        <v/>
      </c>
    </row>
    <row r="108" ht="15.75" customHeight="1">
      <c r="H108" s="18" t="str">
        <f t="shared" si="23"/>
        <v/>
      </c>
    </row>
    <row r="109" ht="15.75" customHeight="1">
      <c r="H109" s="18" t="str">
        <f t="shared" si="23"/>
        <v/>
      </c>
    </row>
    <row r="110" ht="15.75" customHeight="1">
      <c r="H110" s="18" t="str">
        <f t="shared" si="23"/>
        <v/>
      </c>
    </row>
    <row r="111" ht="15.75" customHeight="1">
      <c r="H111" s="18" t="str">
        <f t="shared" si="23"/>
        <v/>
      </c>
    </row>
    <row r="112" ht="15.75" customHeight="1">
      <c r="H112" s="18" t="str">
        <f t="shared" si="23"/>
        <v/>
      </c>
    </row>
    <row r="113" ht="15.75" customHeight="1">
      <c r="H113" s="18" t="str">
        <f t="shared" si="23"/>
        <v/>
      </c>
    </row>
    <row r="114" ht="15.75" customHeight="1">
      <c r="H114" s="18" t="str">
        <f t="shared" si="23"/>
        <v/>
      </c>
    </row>
    <row r="115" ht="15.75" customHeight="1">
      <c r="H115" s="18" t="str">
        <f t="shared" si="23"/>
        <v/>
      </c>
    </row>
    <row r="116" ht="15.75" customHeight="1">
      <c r="H116" s="18" t="str">
        <f t="shared" si="23"/>
        <v/>
      </c>
    </row>
    <row r="117" ht="15.75" customHeight="1">
      <c r="H117" s="18" t="str">
        <f t="shared" si="23"/>
        <v/>
      </c>
    </row>
    <row r="118" ht="15.75" customHeight="1">
      <c r="H118" s="18" t="str">
        <f t="shared" si="23"/>
        <v/>
      </c>
    </row>
    <row r="119" ht="15.75" customHeight="1">
      <c r="H119" s="18" t="str">
        <f t="shared" si="23"/>
        <v/>
      </c>
    </row>
    <row r="120" ht="15.75" customHeight="1">
      <c r="H120" s="18" t="str">
        <f t="shared" si="23"/>
        <v/>
      </c>
    </row>
    <row r="121" ht="15.75" customHeight="1">
      <c r="H121" s="18" t="str">
        <f t="shared" si="23"/>
        <v/>
      </c>
    </row>
    <row r="122" ht="15.75" customHeight="1">
      <c r="H122" s="18" t="str">
        <f t="shared" si="23"/>
        <v/>
      </c>
    </row>
    <row r="123" ht="15.75" customHeight="1">
      <c r="H123" s="18" t="str">
        <f t="shared" si="23"/>
        <v/>
      </c>
    </row>
    <row r="124" ht="15.75" customHeight="1">
      <c r="H124" s="18" t="str">
        <f t="shared" si="23"/>
        <v/>
      </c>
    </row>
    <row r="125" ht="15.75" customHeight="1">
      <c r="H125" s="18" t="str">
        <f t="shared" si="23"/>
        <v/>
      </c>
    </row>
    <row r="126" ht="15.75" customHeight="1">
      <c r="H126" s="18" t="str">
        <f t="shared" si="23"/>
        <v/>
      </c>
    </row>
    <row r="127" ht="15.75" customHeight="1">
      <c r="H127" s="18" t="str">
        <f t="shared" si="23"/>
        <v/>
      </c>
    </row>
    <row r="128" ht="15.75" customHeight="1">
      <c r="H128" s="18" t="str">
        <f t="shared" si="23"/>
        <v/>
      </c>
    </row>
    <row r="129" ht="15.75" customHeight="1">
      <c r="H129" s="18" t="str">
        <f t="shared" si="23"/>
        <v/>
      </c>
    </row>
    <row r="130" ht="15.75" customHeight="1">
      <c r="H130" s="18" t="str">
        <f t="shared" si="23"/>
        <v/>
      </c>
    </row>
    <row r="131" ht="15.75" customHeight="1">
      <c r="H131" s="18" t="str">
        <f t="shared" si="23"/>
        <v/>
      </c>
    </row>
    <row r="132" ht="15.75" customHeight="1">
      <c r="H132" s="18" t="str">
        <f t="shared" si="23"/>
        <v/>
      </c>
    </row>
    <row r="133" ht="15.75" customHeight="1">
      <c r="H133" s="18" t="str">
        <f t="shared" si="23"/>
        <v/>
      </c>
    </row>
    <row r="134" ht="15.75" customHeight="1">
      <c r="H134" s="18" t="str">
        <f t="shared" si="23"/>
        <v/>
      </c>
    </row>
    <row r="135" ht="15.75" customHeight="1">
      <c r="H135" s="18" t="str">
        <f t="shared" si="23"/>
        <v/>
      </c>
    </row>
    <row r="136" ht="15.75" customHeight="1">
      <c r="H136" s="18" t="str">
        <f t="shared" si="23"/>
        <v/>
      </c>
    </row>
    <row r="137" ht="15.75" customHeight="1">
      <c r="H137" s="18" t="str">
        <f t="shared" si="23"/>
        <v/>
      </c>
    </row>
    <row r="138" ht="15.75" customHeight="1">
      <c r="H138" s="18" t="str">
        <f t="shared" si="23"/>
        <v/>
      </c>
    </row>
    <row r="139" ht="15.75" customHeight="1">
      <c r="H139" s="18" t="str">
        <f t="shared" si="23"/>
        <v/>
      </c>
    </row>
    <row r="140" ht="15.75" customHeight="1">
      <c r="H140" s="18" t="str">
        <f t="shared" si="23"/>
        <v/>
      </c>
    </row>
    <row r="141" ht="15.75" customHeight="1">
      <c r="H141" s="18" t="str">
        <f t="shared" si="23"/>
        <v/>
      </c>
    </row>
    <row r="142" ht="15.75" customHeight="1">
      <c r="H142" s="18" t="str">
        <f t="shared" si="23"/>
        <v/>
      </c>
    </row>
    <row r="143" ht="15.75" customHeight="1">
      <c r="H143" s="18" t="str">
        <f t="shared" si="23"/>
        <v/>
      </c>
    </row>
    <row r="144" ht="15.75" customHeight="1">
      <c r="H144" s="18" t="str">
        <f t="shared" si="23"/>
        <v/>
      </c>
    </row>
    <row r="145" ht="15.75" customHeight="1">
      <c r="H145" s="18" t="str">
        <f t="shared" si="23"/>
        <v/>
      </c>
    </row>
    <row r="146" ht="15.75" customHeight="1">
      <c r="H146" s="18" t="str">
        <f t="shared" si="23"/>
        <v/>
      </c>
    </row>
    <row r="147" ht="15.75" customHeight="1">
      <c r="H147" s="18" t="str">
        <f t="shared" si="23"/>
        <v/>
      </c>
    </row>
    <row r="148" ht="15.75" customHeight="1">
      <c r="H148" s="18" t="str">
        <f t="shared" si="23"/>
        <v/>
      </c>
    </row>
    <row r="149" ht="15.75" customHeight="1">
      <c r="H149" s="18" t="str">
        <f t="shared" si="23"/>
        <v/>
      </c>
    </row>
    <row r="150" ht="15.75" customHeight="1">
      <c r="H150" s="18" t="str">
        <f t="shared" si="23"/>
        <v/>
      </c>
    </row>
    <row r="151" ht="15.75" customHeight="1">
      <c r="H151" s="18" t="str">
        <f t="shared" si="23"/>
        <v/>
      </c>
    </row>
    <row r="152" ht="15.75" customHeight="1">
      <c r="H152" s="18" t="str">
        <f t="shared" si="23"/>
        <v/>
      </c>
    </row>
    <row r="153" ht="15.75" customHeight="1">
      <c r="H153" s="18" t="str">
        <f t="shared" si="23"/>
        <v/>
      </c>
    </row>
    <row r="154" ht="15.75" customHeight="1">
      <c r="H154" s="18" t="str">
        <f t="shared" si="23"/>
        <v/>
      </c>
    </row>
    <row r="155" ht="15.75" customHeight="1">
      <c r="H155" s="18" t="str">
        <f t="shared" si="23"/>
        <v/>
      </c>
    </row>
    <row r="156" ht="15.75" customHeight="1">
      <c r="H156" s="18" t="str">
        <f t="shared" si="23"/>
        <v/>
      </c>
    </row>
    <row r="157" ht="15.75" customHeight="1">
      <c r="H157" s="18" t="str">
        <f t="shared" si="23"/>
        <v/>
      </c>
    </row>
    <row r="158" ht="15.75" customHeight="1">
      <c r="H158" s="18" t="str">
        <f t="shared" si="23"/>
        <v/>
      </c>
    </row>
    <row r="159" ht="15.75" customHeight="1">
      <c r="H159" s="18" t="str">
        <f t="shared" si="23"/>
        <v/>
      </c>
    </row>
    <row r="160" ht="15.75" customHeight="1">
      <c r="H160" s="18" t="str">
        <f t="shared" si="23"/>
        <v/>
      </c>
    </row>
    <row r="161" ht="15.75" customHeight="1">
      <c r="H161" s="18" t="str">
        <f t="shared" si="23"/>
        <v/>
      </c>
    </row>
    <row r="162" ht="15.75" customHeight="1">
      <c r="H162" s="18" t="str">
        <f t="shared" si="23"/>
        <v/>
      </c>
    </row>
    <row r="163" ht="15.75" customHeight="1">
      <c r="H163" s="18" t="str">
        <f t="shared" si="23"/>
        <v/>
      </c>
    </row>
    <row r="164" ht="15.75" customHeight="1">
      <c r="H164" s="18" t="str">
        <f t="shared" si="23"/>
        <v/>
      </c>
    </row>
    <row r="165" ht="15.75" customHeight="1">
      <c r="H165" s="18" t="str">
        <f t="shared" si="23"/>
        <v/>
      </c>
    </row>
    <row r="166" ht="15.75" customHeight="1">
      <c r="H166" s="18" t="str">
        <f t="shared" si="23"/>
        <v/>
      </c>
    </row>
    <row r="167" ht="15.75" customHeight="1">
      <c r="H167" s="18" t="str">
        <f t="shared" si="23"/>
        <v/>
      </c>
    </row>
    <row r="168" ht="15.75" customHeight="1">
      <c r="H168" s="18" t="str">
        <f t="shared" si="23"/>
        <v/>
      </c>
    </row>
    <row r="169" ht="15.75" customHeight="1">
      <c r="H169" s="18" t="str">
        <f t="shared" si="23"/>
        <v/>
      </c>
    </row>
    <row r="170" ht="15.75" customHeight="1">
      <c r="H170" s="18" t="str">
        <f t="shared" si="23"/>
        <v/>
      </c>
    </row>
    <row r="171" ht="15.75" customHeight="1">
      <c r="H171" s="18" t="str">
        <f t="shared" si="23"/>
        <v/>
      </c>
    </row>
    <row r="172" ht="15.75" customHeight="1">
      <c r="H172" s="18" t="str">
        <f t="shared" si="23"/>
        <v/>
      </c>
    </row>
    <row r="173" ht="15.75" customHeight="1">
      <c r="H173" s="18" t="str">
        <f t="shared" si="23"/>
        <v/>
      </c>
    </row>
    <row r="174" ht="15.75" customHeight="1">
      <c r="H174" s="18" t="str">
        <f t="shared" si="23"/>
        <v/>
      </c>
    </row>
    <row r="175" ht="15.75" customHeight="1">
      <c r="H175" s="18" t="str">
        <f t="shared" si="23"/>
        <v/>
      </c>
    </row>
    <row r="176" ht="15.75" customHeight="1">
      <c r="H176" s="18" t="str">
        <f t="shared" si="23"/>
        <v/>
      </c>
    </row>
    <row r="177" ht="15.75" customHeight="1">
      <c r="H177" s="18" t="str">
        <f t="shared" si="23"/>
        <v/>
      </c>
    </row>
    <row r="178" ht="15.75" customHeight="1">
      <c r="H178" s="18" t="str">
        <f t="shared" si="23"/>
        <v/>
      </c>
    </row>
    <row r="179" ht="15.75" customHeight="1">
      <c r="H179" s="18" t="str">
        <f t="shared" si="23"/>
        <v/>
      </c>
    </row>
    <row r="180" ht="15.75" customHeight="1">
      <c r="H180" s="18" t="str">
        <f t="shared" si="23"/>
        <v/>
      </c>
    </row>
    <row r="181" ht="15.75" customHeight="1">
      <c r="H181" s="18" t="str">
        <f t="shared" si="23"/>
        <v/>
      </c>
    </row>
    <row r="182" ht="15.75" customHeight="1">
      <c r="H182" s="18" t="str">
        <f t="shared" si="23"/>
        <v/>
      </c>
    </row>
    <row r="183" ht="15.75" customHeight="1">
      <c r="H183" s="18" t="str">
        <f t="shared" si="23"/>
        <v/>
      </c>
    </row>
    <row r="184" ht="15.75" customHeight="1">
      <c r="H184" s="18" t="str">
        <f t="shared" si="23"/>
        <v/>
      </c>
    </row>
    <row r="185" ht="15.75" customHeight="1">
      <c r="H185" s="18" t="str">
        <f t="shared" si="23"/>
        <v/>
      </c>
    </row>
    <row r="186" ht="15.75" customHeight="1">
      <c r="H186" s="18" t="str">
        <f t="shared" si="23"/>
        <v/>
      </c>
    </row>
    <row r="187" ht="15.75" customHeight="1">
      <c r="H187" s="18" t="str">
        <f t="shared" si="23"/>
        <v/>
      </c>
    </row>
    <row r="188" ht="15.75" customHeight="1">
      <c r="H188" s="18" t="str">
        <f t="shared" si="23"/>
        <v/>
      </c>
    </row>
    <row r="189" ht="15.75" customHeight="1">
      <c r="H189" s="18" t="str">
        <f t="shared" si="23"/>
        <v/>
      </c>
    </row>
    <row r="190" ht="15.75" customHeight="1">
      <c r="H190" s="18" t="str">
        <f t="shared" si="23"/>
        <v/>
      </c>
    </row>
    <row r="191" ht="15.75" customHeight="1">
      <c r="H191" s="18" t="str">
        <f t="shared" si="23"/>
        <v/>
      </c>
    </row>
    <row r="192" ht="15.75" customHeight="1">
      <c r="H192" s="18" t="str">
        <f t="shared" si="23"/>
        <v/>
      </c>
    </row>
    <row r="193" ht="15.75" customHeight="1">
      <c r="H193" s="18" t="str">
        <f t="shared" si="23"/>
        <v/>
      </c>
    </row>
    <row r="194" ht="15.75" customHeight="1">
      <c r="H194" s="18" t="str">
        <f t="shared" si="23"/>
        <v/>
      </c>
    </row>
    <row r="195" ht="15.75" customHeight="1">
      <c r="H195" s="18" t="str">
        <f t="shared" si="23"/>
        <v/>
      </c>
    </row>
    <row r="196" ht="15.75" customHeight="1">
      <c r="H196" s="18" t="str">
        <f t="shared" si="23"/>
        <v/>
      </c>
    </row>
    <row r="197" ht="15.75" customHeight="1">
      <c r="H197" s="18" t="str">
        <f t="shared" si="23"/>
        <v/>
      </c>
    </row>
    <row r="198" ht="15.75" customHeight="1">
      <c r="H198" s="18" t="str">
        <f t="shared" si="23"/>
        <v/>
      </c>
    </row>
    <row r="199" ht="15.75" customHeight="1">
      <c r="H199" s="18" t="str">
        <f t="shared" si="23"/>
        <v/>
      </c>
    </row>
    <row r="200" ht="15.75" customHeight="1">
      <c r="H200" s="18" t="str">
        <f t="shared" si="23"/>
        <v/>
      </c>
    </row>
    <row r="201" ht="15.75" customHeight="1">
      <c r="H201" s="18" t="str">
        <f t="shared" si="23"/>
        <v/>
      </c>
    </row>
    <row r="202" ht="15.75" customHeight="1">
      <c r="H202" s="18" t="str">
        <f t="shared" si="23"/>
        <v/>
      </c>
    </row>
    <row r="203" ht="15.75" customHeight="1">
      <c r="H203" s="18" t="str">
        <f t="shared" si="23"/>
        <v/>
      </c>
    </row>
    <row r="204" ht="15.75" customHeight="1">
      <c r="H204" s="18" t="str">
        <f t="shared" si="23"/>
        <v/>
      </c>
    </row>
    <row r="205" ht="15.75" customHeight="1">
      <c r="H205" s="18" t="str">
        <f t="shared" si="23"/>
        <v/>
      </c>
    </row>
    <row r="206" ht="15.75" customHeight="1">
      <c r="H206" s="18" t="str">
        <f t="shared" si="23"/>
        <v/>
      </c>
    </row>
    <row r="207" ht="15.75" customHeight="1">
      <c r="H207" s="18" t="str">
        <f t="shared" si="23"/>
        <v/>
      </c>
    </row>
    <row r="208" ht="15.75" customHeight="1">
      <c r="H208" s="18" t="str">
        <f t="shared" si="23"/>
        <v/>
      </c>
    </row>
    <row r="209" ht="15.75" customHeight="1">
      <c r="H209" s="18" t="str">
        <f t="shared" si="23"/>
        <v/>
      </c>
    </row>
    <row r="210" ht="15.75" customHeight="1">
      <c r="H210" s="18" t="str">
        <f t="shared" si="23"/>
        <v/>
      </c>
    </row>
    <row r="211" ht="15.75" customHeight="1">
      <c r="H211" s="18" t="str">
        <f t="shared" si="23"/>
        <v/>
      </c>
    </row>
    <row r="212" ht="15.75" customHeight="1">
      <c r="H212" s="18" t="str">
        <f t="shared" si="23"/>
        <v/>
      </c>
    </row>
    <row r="213" ht="15.75" customHeight="1">
      <c r="H213" s="18" t="str">
        <f t="shared" si="23"/>
        <v/>
      </c>
    </row>
    <row r="214" ht="15.75" customHeight="1">
      <c r="H214" s="18" t="str">
        <f t="shared" si="23"/>
        <v/>
      </c>
    </row>
    <row r="215" ht="15.75" customHeight="1">
      <c r="H215" s="18" t="str">
        <f t="shared" si="23"/>
        <v/>
      </c>
    </row>
    <row r="216" ht="15.75" customHeight="1">
      <c r="H216" s="18" t="str">
        <f t="shared" si="23"/>
        <v/>
      </c>
    </row>
    <row r="217" ht="15.75" customHeight="1">
      <c r="H217" s="18" t="str">
        <f t="shared" si="23"/>
        <v/>
      </c>
    </row>
    <row r="218" ht="15.75" customHeight="1">
      <c r="H218" s="18" t="str">
        <f t="shared" si="23"/>
        <v/>
      </c>
    </row>
    <row r="219" ht="15.75" customHeight="1">
      <c r="H219" s="18" t="str">
        <f t="shared" si="23"/>
        <v/>
      </c>
    </row>
    <row r="220" ht="15.75" customHeight="1">
      <c r="H220" s="18" t="str">
        <f t="shared" si="23"/>
        <v/>
      </c>
    </row>
    <row r="221" ht="15.75" customHeight="1">
      <c r="H221" s="18" t="str">
        <f t="shared" si="23"/>
        <v/>
      </c>
    </row>
    <row r="222" ht="15.75" customHeight="1">
      <c r="H222" s="18" t="str">
        <f t="shared" si="23"/>
        <v/>
      </c>
    </row>
    <row r="223" ht="15.75" customHeight="1">
      <c r="H223" s="18" t="str">
        <f t="shared" si="23"/>
        <v/>
      </c>
    </row>
    <row r="224" ht="15.75" customHeight="1">
      <c r="H224" s="18" t="str">
        <f t="shared" si="23"/>
        <v/>
      </c>
    </row>
    <row r="225" ht="15.75" customHeight="1">
      <c r="H225" s="18" t="str">
        <f t="shared" si="23"/>
        <v/>
      </c>
    </row>
    <row r="226" ht="15.75" customHeight="1">
      <c r="H226" s="18" t="str">
        <f t="shared" si="23"/>
        <v/>
      </c>
    </row>
    <row r="227" ht="15.75" customHeight="1">
      <c r="H227" s="18" t="str">
        <f t="shared" si="23"/>
        <v/>
      </c>
    </row>
    <row r="228" ht="15.75" customHeight="1">
      <c r="H228" s="18" t="str">
        <f t="shared" si="23"/>
        <v/>
      </c>
    </row>
    <row r="229" ht="15.75" customHeight="1">
      <c r="H229" s="18" t="str">
        <f t="shared" si="23"/>
        <v/>
      </c>
    </row>
    <row r="230" ht="15.75" customHeight="1">
      <c r="H230" s="18" t="str">
        <f t="shared" si="23"/>
        <v/>
      </c>
    </row>
    <row r="231" ht="15.75" customHeight="1">
      <c r="H231" s="18" t="str">
        <f t="shared" si="23"/>
        <v/>
      </c>
    </row>
    <row r="232" ht="15.75" customHeight="1">
      <c r="H232" s="18" t="str">
        <f t="shared" si="23"/>
        <v/>
      </c>
    </row>
    <row r="233" ht="15.75" customHeight="1">
      <c r="H233" s="18" t="str">
        <f t="shared" si="23"/>
        <v/>
      </c>
    </row>
    <row r="234" ht="15.75" customHeight="1">
      <c r="H234" s="18" t="str">
        <f t="shared" si="23"/>
        <v/>
      </c>
    </row>
    <row r="235" ht="15.75" customHeight="1">
      <c r="H235" s="18" t="str">
        <f t="shared" si="23"/>
        <v/>
      </c>
    </row>
    <row r="236" ht="15.75" customHeight="1">
      <c r="H236" s="18" t="str">
        <f t="shared" si="23"/>
        <v/>
      </c>
    </row>
    <row r="237" ht="15.75" customHeight="1">
      <c r="H237" s="18" t="str">
        <f t="shared" si="23"/>
        <v/>
      </c>
    </row>
    <row r="238" ht="15.75" customHeight="1">
      <c r="H238" s="18" t="str">
        <f t="shared" si="23"/>
        <v/>
      </c>
    </row>
    <row r="239" ht="15.75" customHeight="1">
      <c r="H239" s="18" t="str">
        <f t="shared" si="23"/>
        <v/>
      </c>
    </row>
    <row r="240" ht="15.75" customHeight="1">
      <c r="H240" s="18" t="str">
        <f t="shared" si="23"/>
        <v/>
      </c>
    </row>
    <row r="241" ht="15.75" customHeight="1">
      <c r="H241" s="18" t="str">
        <f t="shared" si="23"/>
        <v/>
      </c>
    </row>
    <row r="242" ht="15.75" customHeight="1">
      <c r="H242" s="18" t="str">
        <f t="shared" si="23"/>
        <v/>
      </c>
    </row>
    <row r="243" ht="15.75" customHeight="1">
      <c r="H243" s="18" t="str">
        <f t="shared" si="23"/>
        <v/>
      </c>
    </row>
    <row r="244" ht="15.75" customHeight="1">
      <c r="H244" s="18" t="str">
        <f t="shared" si="23"/>
        <v/>
      </c>
    </row>
    <row r="245" ht="15.75" customHeight="1">
      <c r="H245" s="18" t="str">
        <f t="shared" si="23"/>
        <v/>
      </c>
    </row>
    <row r="246" ht="15.75" customHeight="1">
      <c r="H246" s="18" t="str">
        <f t="shared" si="23"/>
        <v/>
      </c>
    </row>
    <row r="247" ht="15.75" customHeight="1">
      <c r="H247" s="18" t="str">
        <f t="shared" si="23"/>
        <v/>
      </c>
    </row>
    <row r="248" ht="15.75" customHeight="1">
      <c r="H248" s="18" t="str">
        <f t="shared" si="23"/>
        <v/>
      </c>
    </row>
    <row r="249" ht="15.75" customHeight="1">
      <c r="H249" s="18" t="str">
        <f t="shared" si="23"/>
        <v/>
      </c>
    </row>
    <row r="250" ht="15.75" customHeight="1">
      <c r="H250" s="18" t="str">
        <f t="shared" si="23"/>
        <v/>
      </c>
    </row>
    <row r="251" ht="15.75" customHeight="1">
      <c r="H251" s="18" t="str">
        <f t="shared" si="23"/>
        <v/>
      </c>
    </row>
    <row r="252" ht="15.75" customHeight="1">
      <c r="H252" s="18" t="str">
        <f t="shared" si="23"/>
        <v/>
      </c>
    </row>
    <row r="253" ht="15.75" customHeight="1">
      <c r="H253" s="18" t="str">
        <f t="shared" si="23"/>
        <v/>
      </c>
    </row>
    <row r="254" ht="15.75" customHeight="1">
      <c r="H254" s="18" t="str">
        <f t="shared" si="23"/>
        <v/>
      </c>
    </row>
    <row r="255" ht="15.75" customHeight="1">
      <c r="H255" s="18" t="str">
        <f t="shared" si="23"/>
        <v/>
      </c>
    </row>
    <row r="256" ht="15.75" customHeight="1">
      <c r="H256" s="18" t="str">
        <f t="shared" si="23"/>
        <v/>
      </c>
    </row>
    <row r="257" ht="15.75" customHeight="1">
      <c r="H257" s="18" t="str">
        <f t="shared" si="23"/>
        <v/>
      </c>
    </row>
    <row r="258" ht="15.75" customHeight="1">
      <c r="H258" s="18" t="str">
        <f t="shared" si="23"/>
        <v/>
      </c>
    </row>
    <row r="259" ht="15.75" customHeight="1">
      <c r="H259" s="18" t="str">
        <f t="shared" si="23"/>
        <v/>
      </c>
    </row>
    <row r="260" ht="15.75" customHeight="1">
      <c r="H260" s="18" t="str">
        <f t="shared" si="23"/>
        <v/>
      </c>
    </row>
    <row r="261" ht="15.75" customHeight="1">
      <c r="H261" s="18" t="str">
        <f t="shared" si="23"/>
        <v/>
      </c>
    </row>
    <row r="262" ht="15.75" customHeight="1">
      <c r="H262" s="18" t="str">
        <f t="shared" si="23"/>
        <v/>
      </c>
    </row>
    <row r="263" ht="15.75" customHeight="1">
      <c r="H263" s="18" t="str">
        <f t="shared" si="23"/>
        <v/>
      </c>
    </row>
    <row r="264" ht="15.75" customHeight="1">
      <c r="H264" s="18" t="str">
        <f t="shared" si="23"/>
        <v/>
      </c>
    </row>
    <row r="265" ht="15.75" customHeight="1">
      <c r="H265" s="18" t="str">
        <f t="shared" si="23"/>
        <v/>
      </c>
    </row>
    <row r="266" ht="15.75" customHeight="1">
      <c r="H266" s="18" t="str">
        <f t="shared" si="23"/>
        <v/>
      </c>
    </row>
    <row r="267" ht="15.75" customHeight="1">
      <c r="H267" s="18" t="str">
        <f t="shared" si="23"/>
        <v/>
      </c>
    </row>
    <row r="268" ht="15.75" customHeight="1">
      <c r="H268" s="18" t="str">
        <f t="shared" si="23"/>
        <v/>
      </c>
    </row>
    <row r="269" ht="15.75" customHeight="1">
      <c r="H269" s="18" t="str">
        <f t="shared" si="23"/>
        <v/>
      </c>
    </row>
    <row r="270" ht="15.75" customHeight="1">
      <c r="H270" s="18" t="str">
        <f t="shared" si="23"/>
        <v/>
      </c>
    </row>
    <row r="271" ht="15.75" customHeight="1">
      <c r="H271" s="18" t="str">
        <f t="shared" si="23"/>
        <v/>
      </c>
    </row>
    <row r="272" ht="15.75" customHeight="1">
      <c r="H272" s="18" t="str">
        <f t="shared" si="23"/>
        <v/>
      </c>
    </row>
    <row r="273" ht="15.75" customHeight="1">
      <c r="H273" s="18" t="str">
        <f t="shared" si="23"/>
        <v/>
      </c>
    </row>
    <row r="274" ht="15.75" customHeight="1">
      <c r="H274" s="18" t="str">
        <f t="shared" si="23"/>
        <v/>
      </c>
    </row>
    <row r="275" ht="15.75" customHeight="1">
      <c r="H275" s="18" t="str">
        <f t="shared" si="23"/>
        <v/>
      </c>
    </row>
    <row r="276" ht="15.75" customHeight="1">
      <c r="H276" s="18" t="str">
        <f t="shared" si="23"/>
        <v/>
      </c>
    </row>
    <row r="277" ht="15.75" customHeight="1">
      <c r="H277" s="18" t="str">
        <f t="shared" si="23"/>
        <v/>
      </c>
    </row>
    <row r="278" ht="15.75" customHeight="1">
      <c r="H278" s="18" t="str">
        <f t="shared" si="23"/>
        <v/>
      </c>
    </row>
    <row r="279" ht="15.75" customHeight="1">
      <c r="H279" s="18" t="str">
        <f t="shared" si="23"/>
        <v/>
      </c>
    </row>
    <row r="280" ht="15.75" customHeight="1">
      <c r="H280" s="18" t="str">
        <f t="shared" si="23"/>
        <v/>
      </c>
    </row>
    <row r="281" ht="15.75" customHeight="1">
      <c r="H281" s="18" t="str">
        <f t="shared" si="23"/>
        <v/>
      </c>
    </row>
    <row r="282" ht="15.75" customHeight="1">
      <c r="H282" s="18" t="str">
        <f t="shared" si="23"/>
        <v/>
      </c>
    </row>
    <row r="283" ht="15.75" customHeight="1">
      <c r="H283" s="18" t="str">
        <f t="shared" si="23"/>
        <v/>
      </c>
    </row>
    <row r="284" ht="15.75" customHeight="1">
      <c r="H284" s="18" t="str">
        <f t="shared" si="23"/>
        <v/>
      </c>
    </row>
    <row r="285" ht="15.75" customHeight="1">
      <c r="H285" s="18" t="str">
        <f t="shared" si="23"/>
        <v/>
      </c>
    </row>
    <row r="286" ht="15.75" customHeight="1">
      <c r="H286" s="18" t="str">
        <f t="shared" si="23"/>
        <v/>
      </c>
    </row>
    <row r="287" ht="15.75" customHeight="1">
      <c r="H287" s="18" t="str">
        <f t="shared" si="23"/>
        <v/>
      </c>
    </row>
    <row r="288" ht="15.75" customHeight="1">
      <c r="H288" s="18" t="str">
        <f t="shared" si="23"/>
        <v/>
      </c>
    </row>
    <row r="289" ht="15.75" customHeight="1">
      <c r="H289" s="18" t="str">
        <f t="shared" si="23"/>
        <v/>
      </c>
    </row>
    <row r="290" ht="15.75" customHeight="1">
      <c r="H290" s="18" t="str">
        <f t="shared" si="23"/>
        <v/>
      </c>
    </row>
    <row r="291" ht="15.75" customHeight="1">
      <c r="H291" s="18" t="str">
        <f t="shared" si="23"/>
        <v/>
      </c>
    </row>
    <row r="292" ht="15.75" customHeight="1">
      <c r="H292" s="18" t="str">
        <f t="shared" si="23"/>
        <v/>
      </c>
    </row>
    <row r="293" ht="15.75" customHeight="1">
      <c r="H293" s="18" t="str">
        <f t="shared" si="23"/>
        <v/>
      </c>
    </row>
    <row r="294" ht="15.75" customHeight="1">
      <c r="H294" s="18" t="str">
        <f t="shared" si="23"/>
        <v/>
      </c>
    </row>
    <row r="295" ht="15.75" customHeight="1">
      <c r="H295" s="18" t="str">
        <f t="shared" si="23"/>
        <v/>
      </c>
    </row>
    <row r="296" ht="15.75" customHeight="1">
      <c r="H296" s="18" t="str">
        <f t="shared" si="23"/>
        <v/>
      </c>
    </row>
    <row r="297" ht="15.75" customHeight="1">
      <c r="H297" s="18" t="str">
        <f t="shared" si="23"/>
        <v/>
      </c>
    </row>
    <row r="298" ht="15.75" customHeight="1">
      <c r="H298" s="18" t="str">
        <f t="shared" si="23"/>
        <v/>
      </c>
    </row>
    <row r="299" ht="15.75" customHeight="1">
      <c r="H299" s="18" t="str">
        <f t="shared" si="23"/>
        <v/>
      </c>
    </row>
    <row r="300" ht="15.75" customHeight="1">
      <c r="H300" s="18" t="str">
        <f t="shared" si="23"/>
        <v/>
      </c>
    </row>
    <row r="301" ht="15.75" customHeight="1">
      <c r="H301" s="18" t="str">
        <f t="shared" si="23"/>
        <v/>
      </c>
    </row>
    <row r="302" ht="15.75" customHeight="1">
      <c r="H302" s="18" t="str">
        <f t="shared" si="23"/>
        <v/>
      </c>
    </row>
    <row r="303" ht="15.75" customHeight="1">
      <c r="H303" s="18" t="str">
        <f t="shared" si="23"/>
        <v/>
      </c>
    </row>
    <row r="304" ht="15.75" customHeight="1">
      <c r="H304" s="18" t="str">
        <f t="shared" si="23"/>
        <v/>
      </c>
    </row>
    <row r="305" ht="15.75" customHeight="1">
      <c r="H305" s="18" t="str">
        <f t="shared" si="23"/>
        <v/>
      </c>
    </row>
    <row r="306" ht="15.75" customHeight="1">
      <c r="H306" s="18" t="str">
        <f t="shared" si="23"/>
        <v/>
      </c>
    </row>
    <row r="307" ht="15.75" customHeight="1">
      <c r="H307" s="18" t="str">
        <f t="shared" si="23"/>
        <v/>
      </c>
    </row>
    <row r="308" ht="15.75" customHeight="1">
      <c r="H308" s="18" t="str">
        <f t="shared" si="23"/>
        <v/>
      </c>
    </row>
    <row r="309" ht="15.75" customHeight="1">
      <c r="H309" s="18" t="str">
        <f t="shared" si="23"/>
        <v/>
      </c>
    </row>
    <row r="310" ht="15.75" customHeight="1">
      <c r="H310" s="18" t="str">
        <f t="shared" si="23"/>
        <v/>
      </c>
    </row>
    <row r="311" ht="15.75" customHeight="1">
      <c r="H311" s="18" t="str">
        <f t="shared" si="23"/>
        <v/>
      </c>
    </row>
    <row r="312" ht="15.75" customHeight="1">
      <c r="H312" s="18" t="str">
        <f t="shared" si="23"/>
        <v/>
      </c>
    </row>
    <row r="313" ht="15.75" customHeight="1">
      <c r="H313" s="18" t="str">
        <f t="shared" si="23"/>
        <v/>
      </c>
    </row>
    <row r="314" ht="15.75" customHeight="1">
      <c r="H314" s="18" t="str">
        <f t="shared" si="23"/>
        <v/>
      </c>
    </row>
    <row r="315" ht="15.75" customHeight="1">
      <c r="H315" s="18" t="str">
        <f t="shared" si="23"/>
        <v/>
      </c>
    </row>
    <row r="316" ht="15.75" customHeight="1">
      <c r="H316" s="18" t="str">
        <f t="shared" si="23"/>
        <v/>
      </c>
    </row>
    <row r="317" ht="15.75" customHeight="1">
      <c r="H317" s="18" t="str">
        <f t="shared" si="23"/>
        <v/>
      </c>
    </row>
    <row r="318" ht="15.75" customHeight="1">
      <c r="H318" s="18" t="str">
        <f t="shared" si="23"/>
        <v/>
      </c>
    </row>
    <row r="319" ht="15.75" customHeight="1">
      <c r="H319" s="18" t="str">
        <f t="shared" si="23"/>
        <v/>
      </c>
    </row>
    <row r="320" ht="15.75" customHeight="1">
      <c r="H320" s="18" t="str">
        <f t="shared" si="23"/>
        <v/>
      </c>
    </row>
    <row r="321" ht="15.75" customHeight="1">
      <c r="H321" s="18" t="str">
        <f t="shared" si="23"/>
        <v/>
      </c>
    </row>
    <row r="322" ht="15.75" customHeight="1">
      <c r="H322" s="18" t="str">
        <f t="shared" si="23"/>
        <v/>
      </c>
    </row>
    <row r="323" ht="15.75" customHeight="1">
      <c r="H323" s="18" t="str">
        <f t="shared" si="23"/>
        <v/>
      </c>
    </row>
    <row r="324" ht="15.75" customHeight="1">
      <c r="H324" s="18" t="str">
        <f t="shared" si="23"/>
        <v/>
      </c>
    </row>
    <row r="325" ht="15.75" customHeight="1">
      <c r="H325" s="18" t="str">
        <f t="shared" si="23"/>
        <v/>
      </c>
    </row>
    <row r="326" ht="15.75" customHeight="1">
      <c r="H326" s="18" t="str">
        <f t="shared" si="23"/>
        <v/>
      </c>
    </row>
    <row r="327" ht="15.75" customHeight="1">
      <c r="H327" s="18" t="str">
        <f t="shared" si="23"/>
        <v/>
      </c>
    </row>
    <row r="328" ht="15.75" customHeight="1">
      <c r="H328" s="18" t="str">
        <f t="shared" si="23"/>
        <v/>
      </c>
    </row>
    <row r="329" ht="15.75" customHeight="1">
      <c r="H329" s="18" t="str">
        <f t="shared" si="23"/>
        <v/>
      </c>
    </row>
    <row r="330" ht="15.75" customHeight="1">
      <c r="H330" s="18" t="str">
        <f t="shared" si="23"/>
        <v/>
      </c>
    </row>
    <row r="331" ht="15.75" customHeight="1">
      <c r="H331" s="18" t="str">
        <f t="shared" si="23"/>
        <v/>
      </c>
    </row>
    <row r="332" ht="15.75" customHeight="1">
      <c r="H332" s="18" t="str">
        <f t="shared" si="23"/>
        <v/>
      </c>
    </row>
    <row r="333" ht="15.75" customHeight="1">
      <c r="H333" s="18" t="str">
        <f t="shared" si="23"/>
        <v/>
      </c>
    </row>
    <row r="334" ht="15.75" customHeight="1">
      <c r="H334" s="18" t="str">
        <f t="shared" si="23"/>
        <v/>
      </c>
    </row>
    <row r="335" ht="15.75" customHeight="1">
      <c r="H335" s="18" t="str">
        <f t="shared" si="23"/>
        <v/>
      </c>
    </row>
    <row r="336" ht="15.75" customHeight="1">
      <c r="H336" s="18" t="str">
        <f t="shared" si="23"/>
        <v/>
      </c>
    </row>
    <row r="337" ht="15.75" customHeight="1">
      <c r="H337" s="18" t="str">
        <f t="shared" si="23"/>
        <v/>
      </c>
    </row>
    <row r="338" ht="15.75" customHeight="1">
      <c r="H338" s="18" t="str">
        <f t="shared" si="23"/>
        <v/>
      </c>
    </row>
    <row r="339" ht="15.75" customHeight="1">
      <c r="H339" s="18" t="str">
        <f t="shared" si="23"/>
        <v/>
      </c>
    </row>
    <row r="340" ht="15.75" customHeight="1">
      <c r="H340" s="18" t="str">
        <f t="shared" si="23"/>
        <v/>
      </c>
    </row>
    <row r="341" ht="15.75" customHeight="1">
      <c r="H341" s="18" t="str">
        <f t="shared" si="23"/>
        <v/>
      </c>
    </row>
    <row r="342" ht="15.75" customHeight="1">
      <c r="H342" s="18" t="str">
        <f t="shared" si="23"/>
        <v/>
      </c>
    </row>
    <row r="343" ht="15.75" customHeight="1">
      <c r="H343" s="18" t="str">
        <f t="shared" si="23"/>
        <v/>
      </c>
    </row>
    <row r="344" ht="15.75" customHeight="1">
      <c r="H344" s="18" t="str">
        <f t="shared" si="23"/>
        <v/>
      </c>
    </row>
    <row r="345" ht="15.75" customHeight="1">
      <c r="H345" s="18" t="str">
        <f t="shared" si="23"/>
        <v/>
      </c>
    </row>
    <row r="346" ht="15.75" customHeight="1">
      <c r="H346" s="18" t="str">
        <f t="shared" si="23"/>
        <v/>
      </c>
    </row>
    <row r="347" ht="15.75" customHeight="1">
      <c r="H347" s="18" t="str">
        <f t="shared" si="23"/>
        <v/>
      </c>
    </row>
    <row r="348" ht="15.75" customHeight="1">
      <c r="H348" s="18" t="str">
        <f t="shared" si="23"/>
        <v/>
      </c>
    </row>
    <row r="349" ht="15.75" customHeight="1">
      <c r="H349" s="18" t="str">
        <f t="shared" si="23"/>
        <v/>
      </c>
    </row>
    <row r="350" ht="15.75" customHeight="1">
      <c r="H350" s="18" t="str">
        <f t="shared" si="23"/>
        <v/>
      </c>
    </row>
    <row r="351" ht="15.75" customHeight="1">
      <c r="H351" s="18" t="str">
        <f t="shared" si="23"/>
        <v/>
      </c>
    </row>
    <row r="352" ht="15.75" customHeight="1">
      <c r="H352" s="18" t="str">
        <f t="shared" si="23"/>
        <v/>
      </c>
    </row>
    <row r="353" ht="15.75" customHeight="1">
      <c r="H353" s="18" t="str">
        <f t="shared" si="23"/>
        <v/>
      </c>
    </row>
    <row r="354" ht="15.75" customHeight="1">
      <c r="H354" s="18" t="str">
        <f t="shared" si="23"/>
        <v/>
      </c>
    </row>
    <row r="355" ht="15.75" customHeight="1">
      <c r="H355" s="18" t="str">
        <f t="shared" si="23"/>
        <v/>
      </c>
    </row>
    <row r="356" ht="15.75" customHeight="1">
      <c r="H356" s="18" t="str">
        <f t="shared" si="23"/>
        <v/>
      </c>
    </row>
    <row r="357" ht="15.75" customHeight="1">
      <c r="H357" s="18" t="str">
        <f t="shared" si="23"/>
        <v/>
      </c>
    </row>
    <row r="358" ht="15.75" customHeight="1">
      <c r="H358" s="18" t="str">
        <f t="shared" si="23"/>
        <v/>
      </c>
    </row>
    <row r="359" ht="15.75" customHeight="1">
      <c r="H359" s="18" t="str">
        <f t="shared" si="23"/>
        <v/>
      </c>
    </row>
    <row r="360" ht="15.75" customHeight="1">
      <c r="H360" s="18" t="str">
        <f t="shared" si="23"/>
        <v/>
      </c>
    </row>
    <row r="361" ht="15.75" customHeight="1">
      <c r="H361" s="18" t="str">
        <f t="shared" si="23"/>
        <v/>
      </c>
    </row>
    <row r="362" ht="15.75" customHeight="1">
      <c r="H362" s="18" t="str">
        <f t="shared" si="23"/>
        <v/>
      </c>
    </row>
    <row r="363" ht="15.75" customHeight="1">
      <c r="H363" s="18" t="str">
        <f t="shared" si="23"/>
        <v/>
      </c>
    </row>
    <row r="364" ht="15.75" customHeight="1">
      <c r="H364" s="18" t="str">
        <f t="shared" si="23"/>
        <v/>
      </c>
    </row>
    <row r="365" ht="15.75" customHeight="1">
      <c r="H365" s="18" t="str">
        <f t="shared" si="23"/>
        <v/>
      </c>
    </row>
    <row r="366" ht="15.75" customHeight="1">
      <c r="H366" s="18" t="str">
        <f t="shared" si="23"/>
        <v/>
      </c>
    </row>
    <row r="367" ht="15.75" customHeight="1">
      <c r="H367" s="18" t="str">
        <f t="shared" si="23"/>
        <v/>
      </c>
    </row>
    <row r="368" ht="15.75" customHeight="1">
      <c r="H368" s="18" t="str">
        <f t="shared" si="23"/>
        <v/>
      </c>
    </row>
    <row r="369" ht="15.75" customHeight="1">
      <c r="H369" s="18" t="str">
        <f t="shared" si="23"/>
        <v/>
      </c>
    </row>
    <row r="370" ht="15.75" customHeight="1">
      <c r="H370" s="18" t="str">
        <f t="shared" si="23"/>
        <v/>
      </c>
    </row>
    <row r="371" ht="15.75" customHeight="1">
      <c r="H371" s="18" t="str">
        <f t="shared" si="23"/>
        <v/>
      </c>
    </row>
    <row r="372" ht="15.75" customHeight="1">
      <c r="H372" s="18" t="str">
        <f t="shared" si="23"/>
        <v/>
      </c>
    </row>
    <row r="373" ht="15.75" customHeight="1">
      <c r="H373" s="18" t="str">
        <f t="shared" si="23"/>
        <v/>
      </c>
    </row>
    <row r="374" ht="15.75" customHeight="1">
      <c r="H374" s="18" t="str">
        <f t="shared" si="23"/>
        <v/>
      </c>
    </row>
    <row r="375" ht="15.75" customHeight="1">
      <c r="H375" s="18" t="str">
        <f t="shared" si="23"/>
        <v/>
      </c>
    </row>
    <row r="376" ht="15.75" customHeight="1">
      <c r="H376" s="18" t="str">
        <f t="shared" si="23"/>
        <v/>
      </c>
    </row>
    <row r="377" ht="15.75" customHeight="1">
      <c r="H377" s="18" t="str">
        <f t="shared" si="23"/>
        <v/>
      </c>
    </row>
    <row r="378" ht="15.75" customHeight="1">
      <c r="H378" s="18" t="str">
        <f t="shared" si="23"/>
        <v/>
      </c>
    </row>
    <row r="379" ht="15.75" customHeight="1">
      <c r="H379" s="18" t="str">
        <f t="shared" si="23"/>
        <v/>
      </c>
    </row>
    <row r="380" ht="15.75" customHeight="1">
      <c r="H380" s="18" t="str">
        <f t="shared" si="23"/>
        <v/>
      </c>
    </row>
    <row r="381" ht="15.75" customHeight="1">
      <c r="H381" s="18" t="str">
        <f t="shared" si="23"/>
        <v/>
      </c>
    </row>
    <row r="382" ht="15.75" customHeight="1">
      <c r="H382" s="18" t="str">
        <f t="shared" si="23"/>
        <v/>
      </c>
    </row>
    <row r="383" ht="15.75" customHeight="1">
      <c r="H383" s="18" t="str">
        <f t="shared" si="23"/>
        <v/>
      </c>
    </row>
    <row r="384" ht="15.75" customHeight="1">
      <c r="H384" s="18" t="str">
        <f t="shared" si="23"/>
        <v/>
      </c>
    </row>
    <row r="385" ht="15.75" customHeight="1">
      <c r="H385" s="18" t="str">
        <f t="shared" si="23"/>
        <v/>
      </c>
    </row>
    <row r="386" ht="15.75" customHeight="1">
      <c r="H386" s="18" t="str">
        <f t="shared" si="23"/>
        <v/>
      </c>
    </row>
    <row r="387" ht="15.75" customHeight="1">
      <c r="H387" s="18" t="str">
        <f t="shared" si="23"/>
        <v/>
      </c>
    </row>
    <row r="388" ht="15.75" customHeight="1">
      <c r="H388" s="18" t="str">
        <f t="shared" si="23"/>
        <v/>
      </c>
    </row>
    <row r="389" ht="15.75" customHeight="1">
      <c r="H389" s="18" t="str">
        <f t="shared" si="23"/>
        <v/>
      </c>
    </row>
    <row r="390" ht="15.75" customHeight="1">
      <c r="H390" s="18" t="str">
        <f t="shared" si="23"/>
        <v/>
      </c>
    </row>
    <row r="391" ht="15.75" customHeight="1">
      <c r="H391" s="18" t="str">
        <f t="shared" si="23"/>
        <v/>
      </c>
    </row>
    <row r="392" ht="15.75" customHeight="1">
      <c r="H392" s="18" t="str">
        <f t="shared" si="23"/>
        <v/>
      </c>
    </row>
    <row r="393" ht="15.75" customHeight="1">
      <c r="H393" s="18" t="str">
        <f t="shared" si="23"/>
        <v/>
      </c>
    </row>
    <row r="394" ht="15.75" customHeight="1">
      <c r="H394" s="18" t="str">
        <f t="shared" si="23"/>
        <v/>
      </c>
    </row>
    <row r="395" ht="15.75" customHeight="1">
      <c r="H395" s="18" t="str">
        <f t="shared" si="23"/>
        <v/>
      </c>
    </row>
    <row r="396" ht="15.75" customHeight="1">
      <c r="H396" s="18" t="str">
        <f t="shared" si="23"/>
        <v/>
      </c>
    </row>
    <row r="397" ht="15.75" customHeight="1">
      <c r="H397" s="18" t="str">
        <f t="shared" si="23"/>
        <v/>
      </c>
    </row>
    <row r="398" ht="15.75" customHeight="1">
      <c r="H398" s="18" t="str">
        <f t="shared" si="23"/>
        <v/>
      </c>
    </row>
    <row r="399" ht="15.75" customHeight="1">
      <c r="H399" s="18" t="str">
        <f t="shared" si="23"/>
        <v/>
      </c>
    </row>
    <row r="400" ht="15.75" customHeight="1">
      <c r="H400" s="18" t="str">
        <f t="shared" si="23"/>
        <v/>
      </c>
    </row>
    <row r="401" ht="15.75" customHeight="1">
      <c r="H401" s="18" t="str">
        <f t="shared" si="23"/>
        <v/>
      </c>
    </row>
    <row r="402" ht="15.75" customHeight="1">
      <c r="H402" s="18" t="str">
        <f t="shared" si="23"/>
        <v/>
      </c>
    </row>
    <row r="403" ht="15.75" customHeight="1">
      <c r="H403" s="18" t="str">
        <f t="shared" si="23"/>
        <v/>
      </c>
    </row>
    <row r="404" ht="15.75" customHeight="1">
      <c r="H404" s="18" t="str">
        <f t="shared" si="23"/>
        <v/>
      </c>
    </row>
    <row r="405" ht="15.75" customHeight="1">
      <c r="H405" s="18" t="str">
        <f t="shared" si="23"/>
        <v/>
      </c>
    </row>
    <row r="406" ht="15.75" customHeight="1">
      <c r="H406" s="18" t="str">
        <f t="shared" si="23"/>
        <v/>
      </c>
    </row>
    <row r="407" ht="15.75" customHeight="1">
      <c r="H407" s="18" t="str">
        <f t="shared" si="23"/>
        <v/>
      </c>
    </row>
    <row r="408" ht="15.75" customHeight="1">
      <c r="H408" s="18" t="str">
        <f t="shared" si="23"/>
        <v/>
      </c>
    </row>
    <row r="409" ht="15.75" customHeight="1">
      <c r="H409" s="18" t="str">
        <f t="shared" si="23"/>
        <v/>
      </c>
    </row>
    <row r="410" ht="15.75" customHeight="1">
      <c r="H410" s="18" t="str">
        <f t="shared" si="23"/>
        <v/>
      </c>
    </row>
    <row r="411" ht="15.75" customHeight="1">
      <c r="H411" s="18" t="str">
        <f t="shared" si="23"/>
        <v/>
      </c>
    </row>
    <row r="412" ht="15.75" customHeight="1">
      <c r="H412" s="18" t="str">
        <f t="shared" si="23"/>
        <v/>
      </c>
    </row>
    <row r="413" ht="15.75" customHeight="1">
      <c r="H413" s="18" t="str">
        <f t="shared" si="23"/>
        <v/>
      </c>
    </row>
    <row r="414" ht="15.75" customHeight="1">
      <c r="H414" s="18" t="str">
        <f t="shared" si="23"/>
        <v/>
      </c>
    </row>
    <row r="415" ht="15.75" customHeight="1">
      <c r="H415" s="18" t="str">
        <f t="shared" si="23"/>
        <v/>
      </c>
    </row>
    <row r="416" ht="15.75" customHeight="1">
      <c r="H416" s="18" t="str">
        <f t="shared" si="23"/>
        <v/>
      </c>
    </row>
    <row r="417" ht="15.75" customHeight="1">
      <c r="H417" s="18" t="str">
        <f t="shared" si="23"/>
        <v/>
      </c>
    </row>
    <row r="418" ht="15.75" customHeight="1">
      <c r="H418" s="18" t="str">
        <f t="shared" si="23"/>
        <v/>
      </c>
    </row>
    <row r="419" ht="15.75" customHeight="1">
      <c r="H419" s="18" t="str">
        <f t="shared" si="23"/>
        <v/>
      </c>
    </row>
    <row r="420" ht="15.75" customHeight="1">
      <c r="H420" s="18" t="str">
        <f t="shared" si="23"/>
        <v/>
      </c>
    </row>
    <row r="421" ht="15.75" customHeight="1">
      <c r="H421" s="18" t="str">
        <f t="shared" si="23"/>
        <v/>
      </c>
    </row>
    <row r="422" ht="15.75" customHeight="1">
      <c r="H422" s="18" t="str">
        <f t="shared" si="23"/>
        <v/>
      </c>
    </row>
    <row r="423" ht="15.75" customHeight="1">
      <c r="H423" s="18" t="str">
        <f t="shared" si="23"/>
        <v/>
      </c>
    </row>
    <row r="424" ht="15.75" customHeight="1">
      <c r="H424" s="18" t="str">
        <f t="shared" si="23"/>
        <v/>
      </c>
    </row>
    <row r="425" ht="15.75" customHeight="1">
      <c r="H425" s="18" t="str">
        <f t="shared" si="23"/>
        <v/>
      </c>
    </row>
    <row r="426" ht="15.75" customHeight="1">
      <c r="H426" s="18" t="str">
        <f t="shared" si="23"/>
        <v/>
      </c>
    </row>
    <row r="427" ht="15.75" customHeight="1">
      <c r="H427" s="18" t="str">
        <f t="shared" si="23"/>
        <v/>
      </c>
    </row>
    <row r="428" ht="15.75" customHeight="1">
      <c r="H428" s="18" t="str">
        <f t="shared" si="23"/>
        <v/>
      </c>
    </row>
    <row r="429" ht="15.75" customHeight="1">
      <c r="H429" s="18" t="str">
        <f t="shared" si="23"/>
        <v/>
      </c>
    </row>
    <row r="430" ht="15.75" customHeight="1">
      <c r="H430" s="18" t="str">
        <f t="shared" si="23"/>
        <v/>
      </c>
    </row>
    <row r="431" ht="15.75" customHeight="1">
      <c r="H431" s="18" t="str">
        <f t="shared" si="23"/>
        <v/>
      </c>
    </row>
    <row r="432" ht="15.75" customHeight="1">
      <c r="H432" s="18" t="str">
        <f t="shared" si="23"/>
        <v/>
      </c>
    </row>
    <row r="433" ht="15.75" customHeight="1">
      <c r="H433" s="18" t="str">
        <f t="shared" si="23"/>
        <v/>
      </c>
    </row>
    <row r="434" ht="15.75" customHeight="1">
      <c r="H434" s="18" t="str">
        <f t="shared" si="23"/>
        <v/>
      </c>
    </row>
    <row r="435" ht="15.75" customHeight="1">
      <c r="H435" s="18" t="str">
        <f t="shared" si="23"/>
        <v/>
      </c>
    </row>
    <row r="436" ht="15.75" customHeight="1">
      <c r="H436" s="18" t="str">
        <f t="shared" si="23"/>
        <v/>
      </c>
    </row>
    <row r="437" ht="15.75" customHeight="1">
      <c r="H437" s="18" t="str">
        <f t="shared" si="23"/>
        <v/>
      </c>
    </row>
    <row r="438" ht="15.75" customHeight="1">
      <c r="H438" s="18" t="str">
        <f t="shared" si="23"/>
        <v/>
      </c>
    </row>
    <row r="439" ht="15.75" customHeight="1">
      <c r="H439" s="18" t="str">
        <f t="shared" si="23"/>
        <v/>
      </c>
    </row>
    <row r="440" ht="15.75" customHeight="1">
      <c r="H440" s="18" t="str">
        <f t="shared" si="23"/>
        <v/>
      </c>
    </row>
    <row r="441" ht="15.75" customHeight="1">
      <c r="H441" s="18" t="str">
        <f t="shared" si="23"/>
        <v/>
      </c>
    </row>
    <row r="442" ht="15.75" customHeight="1">
      <c r="H442" s="18" t="str">
        <f t="shared" si="23"/>
        <v/>
      </c>
    </row>
    <row r="443" ht="15.75" customHeight="1">
      <c r="H443" s="18" t="str">
        <f t="shared" si="23"/>
        <v/>
      </c>
    </row>
    <row r="444" ht="15.75" customHeight="1">
      <c r="H444" s="18" t="str">
        <f t="shared" si="23"/>
        <v/>
      </c>
    </row>
    <row r="445" ht="15.75" customHeight="1">
      <c r="H445" s="18" t="str">
        <f t="shared" si="23"/>
        <v/>
      </c>
    </row>
    <row r="446" ht="15.75" customHeight="1">
      <c r="H446" s="18" t="str">
        <f t="shared" si="23"/>
        <v/>
      </c>
    </row>
    <row r="447" ht="15.75" customHeight="1">
      <c r="H447" s="18" t="str">
        <f t="shared" si="23"/>
        <v/>
      </c>
    </row>
    <row r="448" ht="15.75" customHeight="1">
      <c r="H448" s="18" t="str">
        <f t="shared" si="23"/>
        <v/>
      </c>
    </row>
    <row r="449" ht="15.75" customHeight="1">
      <c r="H449" s="18" t="str">
        <f t="shared" si="23"/>
        <v/>
      </c>
    </row>
    <row r="450" ht="15.75" customHeight="1">
      <c r="H450" s="18" t="str">
        <f t="shared" si="23"/>
        <v/>
      </c>
    </row>
    <row r="451" ht="15.75" customHeight="1">
      <c r="H451" s="18" t="str">
        <f t="shared" si="23"/>
        <v/>
      </c>
    </row>
    <row r="452" ht="15.75" customHeight="1">
      <c r="H452" s="18" t="str">
        <f t="shared" si="23"/>
        <v/>
      </c>
    </row>
    <row r="453" ht="15.75" customHeight="1">
      <c r="H453" s="18" t="str">
        <f t="shared" si="23"/>
        <v/>
      </c>
    </row>
    <row r="454" ht="15.75" customHeight="1">
      <c r="H454" s="18" t="str">
        <f t="shared" si="23"/>
        <v/>
      </c>
    </row>
    <row r="455" ht="15.75" customHeight="1">
      <c r="H455" s="18" t="str">
        <f t="shared" si="23"/>
        <v/>
      </c>
    </row>
    <row r="456" ht="15.75" customHeight="1">
      <c r="H456" s="18" t="str">
        <f t="shared" si="23"/>
        <v/>
      </c>
    </row>
    <row r="457" ht="15.75" customHeight="1">
      <c r="H457" s="18" t="str">
        <f t="shared" si="23"/>
        <v/>
      </c>
    </row>
    <row r="458" ht="15.75" customHeight="1">
      <c r="H458" s="18" t="str">
        <f t="shared" si="23"/>
        <v/>
      </c>
    </row>
    <row r="459" ht="15.75" customHeight="1">
      <c r="H459" s="18" t="str">
        <f t="shared" si="23"/>
        <v/>
      </c>
    </row>
    <row r="460" ht="15.75" customHeight="1">
      <c r="H460" s="18" t="str">
        <f t="shared" si="23"/>
        <v/>
      </c>
    </row>
    <row r="461" ht="15.75" customHeight="1">
      <c r="H461" s="18" t="str">
        <f t="shared" si="23"/>
        <v/>
      </c>
    </row>
    <row r="462" ht="15.75" customHeight="1">
      <c r="H462" s="18" t="str">
        <f t="shared" si="23"/>
        <v/>
      </c>
    </row>
    <row r="463" ht="15.75" customHeight="1">
      <c r="H463" s="18" t="str">
        <f t="shared" si="23"/>
        <v/>
      </c>
    </row>
    <row r="464" ht="15.75" customHeight="1">
      <c r="H464" s="18" t="str">
        <f t="shared" si="23"/>
        <v/>
      </c>
    </row>
    <row r="465" ht="15.75" customHeight="1">
      <c r="H465" s="18" t="str">
        <f t="shared" si="23"/>
        <v/>
      </c>
    </row>
    <row r="466" ht="15.75" customHeight="1">
      <c r="H466" s="18" t="str">
        <f t="shared" si="23"/>
        <v/>
      </c>
    </row>
    <row r="467" ht="15.75" customHeight="1">
      <c r="H467" s="18" t="str">
        <f t="shared" si="23"/>
        <v/>
      </c>
    </row>
    <row r="468" ht="15.75" customHeight="1">
      <c r="H468" s="18" t="str">
        <f t="shared" si="23"/>
        <v/>
      </c>
    </row>
    <row r="469" ht="15.75" customHeight="1">
      <c r="H469" s="18" t="str">
        <f t="shared" si="23"/>
        <v/>
      </c>
    </row>
    <row r="470" ht="15.75" customHeight="1">
      <c r="H470" s="18" t="str">
        <f t="shared" si="23"/>
        <v/>
      </c>
    </row>
    <row r="471" ht="15.75" customHeight="1">
      <c r="H471" s="18" t="str">
        <f t="shared" si="23"/>
        <v/>
      </c>
    </row>
    <row r="472" ht="15.75" customHeight="1">
      <c r="H472" s="18" t="str">
        <f t="shared" si="23"/>
        <v/>
      </c>
    </row>
    <row r="473" ht="15.75" customHeight="1">
      <c r="H473" s="18" t="str">
        <f t="shared" si="23"/>
        <v/>
      </c>
    </row>
    <row r="474" ht="15.75" customHeight="1">
      <c r="H474" s="18" t="str">
        <f t="shared" si="23"/>
        <v/>
      </c>
    </row>
    <row r="475" ht="15.75" customHeight="1">
      <c r="H475" s="18" t="str">
        <f t="shared" si="23"/>
        <v/>
      </c>
    </row>
    <row r="476" ht="15.75" customHeight="1">
      <c r="H476" s="18" t="str">
        <f t="shared" si="23"/>
        <v/>
      </c>
    </row>
    <row r="477" ht="15.75" customHeight="1">
      <c r="H477" s="18" t="str">
        <f t="shared" si="23"/>
        <v/>
      </c>
    </row>
    <row r="478" ht="15.75" customHeight="1">
      <c r="H478" s="18" t="str">
        <f t="shared" si="23"/>
        <v/>
      </c>
    </row>
    <row r="479" ht="15.75" customHeight="1">
      <c r="H479" s="18" t="str">
        <f t="shared" si="23"/>
        <v/>
      </c>
    </row>
    <row r="480" ht="15.75" customHeight="1">
      <c r="H480" s="18" t="str">
        <f t="shared" si="23"/>
        <v/>
      </c>
    </row>
    <row r="481" ht="15.75" customHeight="1">
      <c r="H481" s="18" t="str">
        <f t="shared" si="23"/>
        <v/>
      </c>
    </row>
    <row r="482" ht="15.75" customHeight="1">
      <c r="H482" s="18" t="str">
        <f t="shared" si="23"/>
        <v/>
      </c>
    </row>
    <row r="483" ht="15.75" customHeight="1">
      <c r="H483" s="18" t="str">
        <f t="shared" si="23"/>
        <v/>
      </c>
    </row>
    <row r="484" ht="15.75" customHeight="1">
      <c r="H484" s="18" t="str">
        <f t="shared" si="23"/>
        <v/>
      </c>
    </row>
    <row r="485" ht="15.75" customHeight="1">
      <c r="H485" s="18" t="str">
        <f t="shared" si="23"/>
        <v/>
      </c>
    </row>
    <row r="486" ht="15.75" customHeight="1">
      <c r="H486" s="18" t="str">
        <f t="shared" si="23"/>
        <v/>
      </c>
    </row>
    <row r="487" ht="15.75" customHeight="1">
      <c r="H487" s="18" t="str">
        <f t="shared" si="23"/>
        <v/>
      </c>
    </row>
    <row r="488" ht="15.75" customHeight="1">
      <c r="H488" s="18" t="str">
        <f t="shared" si="23"/>
        <v/>
      </c>
    </row>
    <row r="489" ht="15.75" customHeight="1">
      <c r="H489" s="18" t="str">
        <f t="shared" si="23"/>
        <v/>
      </c>
    </row>
    <row r="490" ht="15.75" customHeight="1">
      <c r="H490" s="18" t="str">
        <f t="shared" si="23"/>
        <v/>
      </c>
    </row>
    <row r="491" ht="15.75" customHeight="1">
      <c r="H491" s="18" t="str">
        <f t="shared" si="23"/>
        <v/>
      </c>
    </row>
    <row r="492" ht="15.75" customHeight="1">
      <c r="H492" s="18" t="str">
        <f t="shared" si="23"/>
        <v/>
      </c>
    </row>
    <row r="493" ht="15.75" customHeight="1">
      <c r="H493" s="18" t="str">
        <f t="shared" si="23"/>
        <v/>
      </c>
    </row>
    <row r="494" ht="15.75" customHeight="1">
      <c r="H494" s="18" t="str">
        <f t="shared" si="23"/>
        <v/>
      </c>
    </row>
    <row r="495" ht="15.75" customHeight="1">
      <c r="H495" s="18" t="str">
        <f t="shared" si="23"/>
        <v/>
      </c>
    </row>
    <row r="496" ht="15.75" customHeight="1">
      <c r="H496" s="18" t="str">
        <f t="shared" si="23"/>
        <v/>
      </c>
    </row>
    <row r="497" ht="15.75" customHeight="1">
      <c r="H497" s="18" t="str">
        <f t="shared" si="23"/>
        <v/>
      </c>
    </row>
    <row r="498" ht="15.75" customHeight="1">
      <c r="H498" s="18" t="str">
        <f t="shared" si="23"/>
        <v/>
      </c>
    </row>
    <row r="499" ht="15.75" customHeight="1">
      <c r="H499" s="18" t="str">
        <f t="shared" si="23"/>
        <v/>
      </c>
    </row>
    <row r="500" ht="15.75" customHeight="1">
      <c r="H500" s="18" t="str">
        <f t="shared" si="23"/>
        <v/>
      </c>
    </row>
    <row r="501" ht="15.75" customHeight="1">
      <c r="H501" s="18" t="str">
        <f t="shared" si="23"/>
        <v/>
      </c>
    </row>
    <row r="502" ht="15.75" customHeight="1">
      <c r="H502" s="18" t="str">
        <f t="shared" si="23"/>
        <v/>
      </c>
    </row>
    <row r="503" ht="15.75" customHeight="1">
      <c r="H503" s="18" t="str">
        <f t="shared" si="23"/>
        <v/>
      </c>
    </row>
    <row r="504" ht="15.75" customHeight="1">
      <c r="H504" s="18" t="str">
        <f t="shared" si="23"/>
        <v/>
      </c>
    </row>
    <row r="505" ht="15.75" customHeight="1">
      <c r="H505" s="18" t="str">
        <f t="shared" si="23"/>
        <v/>
      </c>
    </row>
    <row r="506" ht="15.75" customHeight="1">
      <c r="H506" s="18" t="str">
        <f t="shared" si="23"/>
        <v/>
      </c>
    </row>
    <row r="507" ht="15.75" customHeight="1">
      <c r="H507" s="18" t="str">
        <f t="shared" si="23"/>
        <v/>
      </c>
    </row>
    <row r="508" ht="15.75" customHeight="1">
      <c r="H508" s="18" t="str">
        <f t="shared" si="23"/>
        <v/>
      </c>
    </row>
    <row r="509" ht="15.75" customHeight="1">
      <c r="H509" s="18" t="str">
        <f t="shared" si="23"/>
        <v/>
      </c>
    </row>
    <row r="510" ht="15.75" customHeight="1">
      <c r="H510" s="18" t="str">
        <f t="shared" si="23"/>
        <v/>
      </c>
    </row>
    <row r="511" ht="15.75" customHeight="1">
      <c r="H511" s="18" t="str">
        <f t="shared" si="23"/>
        <v/>
      </c>
    </row>
    <row r="512" ht="15.75" customHeight="1">
      <c r="H512" s="18" t="str">
        <f t="shared" si="23"/>
        <v/>
      </c>
    </row>
    <row r="513" ht="15.75" customHeight="1">
      <c r="H513" s="18" t="str">
        <f t="shared" si="23"/>
        <v/>
      </c>
    </row>
    <row r="514" ht="15.75" customHeight="1">
      <c r="H514" s="18" t="str">
        <f t="shared" si="23"/>
        <v/>
      </c>
    </row>
    <row r="515" ht="15.75" customHeight="1">
      <c r="H515" s="18" t="str">
        <f t="shared" si="23"/>
        <v/>
      </c>
    </row>
    <row r="516" ht="15.75" customHeight="1">
      <c r="H516" s="18" t="str">
        <f t="shared" si="23"/>
        <v/>
      </c>
    </row>
    <row r="517" ht="15.75" customHeight="1">
      <c r="H517" s="18" t="str">
        <f t="shared" si="23"/>
        <v/>
      </c>
    </row>
    <row r="518" ht="15.75" customHeight="1">
      <c r="H518" s="18" t="str">
        <f t="shared" si="23"/>
        <v/>
      </c>
    </row>
    <row r="519" ht="15.75" customHeight="1">
      <c r="H519" s="18" t="str">
        <f t="shared" si="23"/>
        <v/>
      </c>
    </row>
    <row r="520" ht="15.75" customHeight="1">
      <c r="H520" s="18" t="str">
        <f t="shared" si="23"/>
        <v/>
      </c>
    </row>
    <row r="521" ht="15.75" customHeight="1">
      <c r="H521" s="18" t="str">
        <f t="shared" si="23"/>
        <v/>
      </c>
    </row>
    <row r="522" ht="15.75" customHeight="1">
      <c r="H522" s="18" t="str">
        <f t="shared" si="23"/>
        <v/>
      </c>
    </row>
    <row r="523" ht="15.75" customHeight="1">
      <c r="H523" s="18" t="str">
        <f t="shared" si="23"/>
        <v/>
      </c>
    </row>
    <row r="524" ht="15.75" customHeight="1">
      <c r="H524" s="18" t="str">
        <f t="shared" si="23"/>
        <v/>
      </c>
    </row>
    <row r="525" ht="15.75" customHeight="1">
      <c r="H525" s="18" t="str">
        <f t="shared" si="23"/>
        <v/>
      </c>
    </row>
    <row r="526" ht="15.75" customHeight="1">
      <c r="H526" s="18" t="str">
        <f t="shared" si="23"/>
        <v/>
      </c>
    </row>
    <row r="527" ht="15.75" customHeight="1">
      <c r="H527" s="18" t="str">
        <f t="shared" si="23"/>
        <v/>
      </c>
    </row>
    <row r="528" ht="15.75" customHeight="1">
      <c r="H528" s="18" t="str">
        <f t="shared" si="23"/>
        <v/>
      </c>
    </row>
    <row r="529" ht="15.75" customHeight="1">
      <c r="H529" s="18" t="str">
        <f t="shared" si="23"/>
        <v/>
      </c>
    </row>
    <row r="530" ht="15.75" customHeight="1">
      <c r="H530" s="18" t="str">
        <f t="shared" si="23"/>
        <v/>
      </c>
    </row>
    <row r="531" ht="15.75" customHeight="1">
      <c r="H531" s="18" t="str">
        <f t="shared" si="23"/>
        <v/>
      </c>
    </row>
    <row r="532" ht="15.75" customHeight="1">
      <c r="H532" s="18" t="str">
        <f t="shared" si="23"/>
        <v/>
      </c>
    </row>
    <row r="533" ht="15.75" customHeight="1">
      <c r="H533" s="18" t="str">
        <f t="shared" si="23"/>
        <v/>
      </c>
    </row>
    <row r="534" ht="15.75" customHeight="1">
      <c r="H534" s="18" t="str">
        <f t="shared" si="23"/>
        <v/>
      </c>
    </row>
    <row r="535" ht="15.75" customHeight="1">
      <c r="H535" s="18" t="str">
        <f t="shared" si="23"/>
        <v/>
      </c>
    </row>
    <row r="536" ht="15.75" customHeight="1">
      <c r="H536" s="18" t="str">
        <f t="shared" si="23"/>
        <v/>
      </c>
    </row>
    <row r="537" ht="15.75" customHeight="1">
      <c r="H537" s="18" t="str">
        <f t="shared" si="23"/>
        <v/>
      </c>
    </row>
    <row r="538" ht="15.75" customHeight="1">
      <c r="H538" s="18" t="str">
        <f t="shared" si="23"/>
        <v/>
      </c>
    </row>
    <row r="539" ht="15.75" customHeight="1">
      <c r="H539" s="18" t="str">
        <f t="shared" si="23"/>
        <v/>
      </c>
    </row>
    <row r="540" ht="15.75" customHeight="1">
      <c r="H540" s="18" t="str">
        <f t="shared" si="23"/>
        <v/>
      </c>
    </row>
    <row r="541" ht="15.75" customHeight="1">
      <c r="H541" s="18" t="str">
        <f t="shared" si="23"/>
        <v/>
      </c>
    </row>
    <row r="542" ht="15.75" customHeight="1">
      <c r="H542" s="18" t="str">
        <f t="shared" si="23"/>
        <v/>
      </c>
    </row>
    <row r="543" ht="15.75" customHeight="1">
      <c r="H543" s="18" t="str">
        <f t="shared" si="23"/>
        <v/>
      </c>
    </row>
    <row r="544" ht="15.75" customHeight="1">
      <c r="H544" s="18" t="str">
        <f t="shared" si="23"/>
        <v/>
      </c>
    </row>
    <row r="545" ht="15.75" customHeight="1">
      <c r="H545" s="18" t="str">
        <f t="shared" si="23"/>
        <v/>
      </c>
    </row>
    <row r="546" ht="15.75" customHeight="1">
      <c r="H546" s="18" t="str">
        <f t="shared" si="23"/>
        <v/>
      </c>
    </row>
    <row r="547" ht="15.75" customHeight="1">
      <c r="H547" s="18" t="str">
        <f t="shared" si="23"/>
        <v/>
      </c>
    </row>
    <row r="548" ht="15.75" customHeight="1">
      <c r="H548" s="18" t="str">
        <f t="shared" si="23"/>
        <v/>
      </c>
    </row>
    <row r="549" ht="15.75" customHeight="1">
      <c r="H549" s="18" t="str">
        <f t="shared" si="23"/>
        <v/>
      </c>
    </row>
    <row r="550" ht="15.75" customHeight="1">
      <c r="H550" s="18" t="str">
        <f t="shared" si="23"/>
        <v/>
      </c>
    </row>
    <row r="551" ht="15.75" customHeight="1">
      <c r="H551" s="18" t="str">
        <f t="shared" si="23"/>
        <v/>
      </c>
    </row>
    <row r="552" ht="15.75" customHeight="1">
      <c r="H552" s="18" t="str">
        <f t="shared" si="23"/>
        <v/>
      </c>
    </row>
    <row r="553" ht="15.75" customHeight="1">
      <c r="H553" s="18" t="str">
        <f t="shared" si="23"/>
        <v/>
      </c>
    </row>
    <row r="554" ht="15.75" customHeight="1">
      <c r="H554" s="18" t="str">
        <f t="shared" si="23"/>
        <v/>
      </c>
    </row>
    <row r="555" ht="15.75" customHeight="1">
      <c r="H555" s="18" t="str">
        <f t="shared" si="23"/>
        <v/>
      </c>
    </row>
    <row r="556" ht="15.75" customHeight="1">
      <c r="H556" s="18" t="str">
        <f t="shared" si="23"/>
        <v/>
      </c>
    </row>
    <row r="557" ht="15.75" customHeight="1">
      <c r="H557" s="18" t="str">
        <f t="shared" si="23"/>
        <v/>
      </c>
    </row>
    <row r="558" ht="15.75" customHeight="1">
      <c r="H558" s="18" t="str">
        <f t="shared" si="23"/>
        <v/>
      </c>
    </row>
    <row r="559" ht="15.75" customHeight="1">
      <c r="H559" s="18" t="str">
        <f t="shared" si="23"/>
        <v/>
      </c>
    </row>
    <row r="560" ht="15.75" customHeight="1">
      <c r="H560" s="18" t="str">
        <f t="shared" si="23"/>
        <v/>
      </c>
    </row>
    <row r="561" ht="15.75" customHeight="1">
      <c r="H561" s="18" t="str">
        <f t="shared" si="23"/>
        <v/>
      </c>
    </row>
    <row r="562" ht="15.75" customHeight="1">
      <c r="H562" s="18" t="str">
        <f t="shared" si="23"/>
        <v/>
      </c>
    </row>
    <row r="563" ht="15.75" customHeight="1">
      <c r="H563" s="18" t="str">
        <f t="shared" si="23"/>
        <v/>
      </c>
    </row>
    <row r="564" ht="15.75" customHeight="1">
      <c r="H564" s="18" t="str">
        <f t="shared" si="23"/>
        <v/>
      </c>
    </row>
    <row r="565" ht="15.75" customHeight="1">
      <c r="H565" s="18" t="str">
        <f t="shared" si="23"/>
        <v/>
      </c>
    </row>
    <row r="566" ht="15.75" customHeight="1">
      <c r="H566" s="18" t="str">
        <f t="shared" si="23"/>
        <v/>
      </c>
    </row>
    <row r="567" ht="15.75" customHeight="1">
      <c r="H567" s="18" t="str">
        <f t="shared" si="23"/>
        <v/>
      </c>
    </row>
    <row r="568" ht="15.75" customHeight="1">
      <c r="H568" s="18" t="str">
        <f t="shared" si="23"/>
        <v/>
      </c>
    </row>
    <row r="569" ht="15.75" customHeight="1">
      <c r="H569" s="18" t="str">
        <f t="shared" si="23"/>
        <v/>
      </c>
    </row>
    <row r="570" ht="15.75" customHeight="1">
      <c r="H570" s="18" t="str">
        <f t="shared" si="23"/>
        <v/>
      </c>
    </row>
    <row r="571" ht="15.75" customHeight="1">
      <c r="H571" s="18" t="str">
        <f t="shared" si="23"/>
        <v/>
      </c>
    </row>
    <row r="572" ht="15.75" customHeight="1">
      <c r="H572" s="18" t="str">
        <f t="shared" si="23"/>
        <v/>
      </c>
    </row>
    <row r="573" ht="15.75" customHeight="1">
      <c r="H573" s="18" t="str">
        <f t="shared" si="23"/>
        <v/>
      </c>
    </row>
    <row r="574" ht="15.75" customHeight="1">
      <c r="H574" s="18" t="str">
        <f t="shared" si="23"/>
        <v/>
      </c>
    </row>
    <row r="575" ht="15.75" customHeight="1">
      <c r="H575" s="18" t="str">
        <f t="shared" si="23"/>
        <v/>
      </c>
    </row>
    <row r="576" ht="15.75" customHeight="1">
      <c r="H576" s="18" t="str">
        <f t="shared" si="23"/>
        <v/>
      </c>
    </row>
    <row r="577" ht="15.75" customHeight="1">
      <c r="H577" s="18" t="str">
        <f t="shared" si="23"/>
        <v/>
      </c>
    </row>
    <row r="578" ht="15.75" customHeight="1">
      <c r="H578" s="18" t="str">
        <f t="shared" si="23"/>
        <v/>
      </c>
    </row>
    <row r="579" ht="15.75" customHeight="1">
      <c r="H579" s="18" t="str">
        <f t="shared" si="23"/>
        <v/>
      </c>
    </row>
    <row r="580" ht="15.75" customHeight="1">
      <c r="H580" s="18" t="str">
        <f t="shared" si="23"/>
        <v/>
      </c>
    </row>
    <row r="581" ht="15.75" customHeight="1">
      <c r="H581" s="18" t="str">
        <f t="shared" si="23"/>
        <v/>
      </c>
    </row>
    <row r="582" ht="15.75" customHeight="1">
      <c r="H582" s="18" t="str">
        <f t="shared" si="23"/>
        <v/>
      </c>
    </row>
    <row r="583" ht="15.75" customHeight="1">
      <c r="H583" s="18" t="str">
        <f t="shared" si="23"/>
        <v/>
      </c>
    </row>
    <row r="584" ht="15.75" customHeight="1">
      <c r="H584" s="18" t="str">
        <f t="shared" si="23"/>
        <v/>
      </c>
    </row>
    <row r="585" ht="15.75" customHeight="1">
      <c r="H585" s="18" t="str">
        <f t="shared" si="23"/>
        <v/>
      </c>
    </row>
    <row r="586" ht="15.75" customHeight="1">
      <c r="H586" s="18" t="str">
        <f t="shared" si="23"/>
        <v/>
      </c>
    </row>
    <row r="587" ht="15.75" customHeight="1">
      <c r="H587" s="18" t="str">
        <f t="shared" si="23"/>
        <v/>
      </c>
    </row>
    <row r="588" ht="15.75" customHeight="1">
      <c r="H588" s="18" t="str">
        <f t="shared" si="23"/>
        <v/>
      </c>
    </row>
    <row r="589" ht="15.75" customHeight="1">
      <c r="H589" s="18" t="str">
        <f t="shared" si="23"/>
        <v/>
      </c>
    </row>
    <row r="590" ht="15.75" customHeight="1">
      <c r="H590" s="18" t="str">
        <f t="shared" si="23"/>
        <v/>
      </c>
    </row>
    <row r="591" ht="15.75" customHeight="1">
      <c r="H591" s="18" t="str">
        <f t="shared" si="23"/>
        <v/>
      </c>
    </row>
    <row r="592" ht="15.75" customHeight="1">
      <c r="H592" s="18" t="str">
        <f t="shared" si="23"/>
        <v/>
      </c>
    </row>
    <row r="593" ht="15.75" customHeight="1">
      <c r="H593" s="18" t="str">
        <f t="shared" si="23"/>
        <v/>
      </c>
    </row>
    <row r="594" ht="15.75" customHeight="1">
      <c r="H594" s="18" t="str">
        <f t="shared" si="23"/>
        <v/>
      </c>
    </row>
    <row r="595" ht="15.75" customHeight="1">
      <c r="H595" s="18" t="str">
        <f t="shared" si="23"/>
        <v/>
      </c>
    </row>
    <row r="596" ht="15.75" customHeight="1">
      <c r="H596" s="18" t="str">
        <f t="shared" si="23"/>
        <v/>
      </c>
    </row>
    <row r="597" ht="15.75" customHeight="1">
      <c r="H597" s="18" t="str">
        <f t="shared" si="23"/>
        <v/>
      </c>
    </row>
    <row r="598" ht="15.75" customHeight="1">
      <c r="H598" s="18" t="str">
        <f t="shared" si="23"/>
        <v/>
      </c>
    </row>
    <row r="599" ht="15.75" customHeight="1">
      <c r="H599" s="18" t="str">
        <f t="shared" si="23"/>
        <v/>
      </c>
    </row>
    <row r="600" ht="15.75" customHeight="1">
      <c r="H600" s="18" t="str">
        <f t="shared" si="23"/>
        <v/>
      </c>
    </row>
    <row r="601" ht="15.75" customHeight="1">
      <c r="H601" s="18" t="str">
        <f t="shared" si="23"/>
        <v/>
      </c>
    </row>
    <row r="602" ht="15.75" customHeight="1">
      <c r="H602" s="18" t="str">
        <f t="shared" si="23"/>
        <v/>
      </c>
    </row>
    <row r="603" ht="15.75" customHeight="1">
      <c r="H603" s="18" t="str">
        <f t="shared" si="23"/>
        <v/>
      </c>
    </row>
    <row r="604" ht="15.75" customHeight="1">
      <c r="H604" s="18" t="str">
        <f t="shared" si="23"/>
        <v/>
      </c>
    </row>
    <row r="605" ht="15.75" customHeight="1">
      <c r="H605" s="18" t="str">
        <f t="shared" si="23"/>
        <v/>
      </c>
    </row>
    <row r="606" ht="15.75" customHeight="1">
      <c r="H606" s="18" t="str">
        <f t="shared" si="23"/>
        <v/>
      </c>
    </row>
    <row r="607" ht="15.75" customHeight="1">
      <c r="H607" s="18" t="str">
        <f t="shared" si="23"/>
        <v/>
      </c>
    </row>
    <row r="608" ht="15.75" customHeight="1">
      <c r="H608" s="18" t="str">
        <f t="shared" si="23"/>
        <v/>
      </c>
    </row>
    <row r="609" ht="15.75" customHeight="1">
      <c r="H609" s="18" t="str">
        <f t="shared" si="23"/>
        <v/>
      </c>
    </row>
    <row r="610" ht="15.75" customHeight="1">
      <c r="H610" s="18" t="str">
        <f t="shared" si="23"/>
        <v/>
      </c>
    </row>
    <row r="611" ht="15.75" customHeight="1">
      <c r="H611" s="18" t="str">
        <f t="shared" si="23"/>
        <v/>
      </c>
    </row>
    <row r="612" ht="15.75" customHeight="1">
      <c r="H612" s="18" t="str">
        <f t="shared" si="23"/>
        <v/>
      </c>
    </row>
    <row r="613" ht="15.75" customHeight="1">
      <c r="H613" s="18" t="str">
        <f t="shared" si="23"/>
        <v/>
      </c>
    </row>
    <row r="614" ht="15.75" customHeight="1">
      <c r="H614" s="18" t="str">
        <f t="shared" si="23"/>
        <v/>
      </c>
    </row>
    <row r="615" ht="15.75" customHeight="1">
      <c r="H615" s="18" t="str">
        <f t="shared" si="23"/>
        <v/>
      </c>
    </row>
    <row r="616" ht="15.75" customHeight="1">
      <c r="H616" s="18" t="str">
        <f t="shared" si="23"/>
        <v/>
      </c>
    </row>
    <row r="617" ht="15.75" customHeight="1">
      <c r="H617" s="18" t="str">
        <f t="shared" si="23"/>
        <v/>
      </c>
    </row>
    <row r="618" ht="15.75" customHeight="1">
      <c r="H618" s="18" t="str">
        <f t="shared" si="23"/>
        <v/>
      </c>
    </row>
    <row r="619" ht="15.75" customHeight="1">
      <c r="H619" s="18" t="str">
        <f t="shared" si="23"/>
        <v/>
      </c>
    </row>
    <row r="620" ht="15.75" customHeight="1">
      <c r="H620" s="18" t="str">
        <f t="shared" si="23"/>
        <v/>
      </c>
    </row>
    <row r="621" ht="15.75" customHeight="1">
      <c r="H621" s="18" t="str">
        <f t="shared" si="23"/>
        <v/>
      </c>
    </row>
    <row r="622" ht="15.75" customHeight="1">
      <c r="H622" s="18" t="str">
        <f t="shared" si="23"/>
        <v/>
      </c>
    </row>
    <row r="623" ht="15.75" customHeight="1">
      <c r="H623" s="18" t="str">
        <f t="shared" si="23"/>
        <v/>
      </c>
    </row>
    <row r="624" ht="15.75" customHeight="1">
      <c r="H624" s="18" t="str">
        <f t="shared" si="23"/>
        <v/>
      </c>
    </row>
    <row r="625" ht="15.75" customHeight="1">
      <c r="H625" s="18" t="str">
        <f t="shared" si="23"/>
        <v/>
      </c>
    </row>
    <row r="626" ht="15.75" customHeight="1">
      <c r="H626" s="18" t="str">
        <f t="shared" si="23"/>
        <v/>
      </c>
    </row>
    <row r="627" ht="15.75" customHeight="1">
      <c r="H627" s="18" t="str">
        <f t="shared" si="23"/>
        <v/>
      </c>
    </row>
    <row r="628" ht="15.75" customHeight="1">
      <c r="H628" s="18" t="str">
        <f t="shared" si="23"/>
        <v/>
      </c>
    </row>
    <row r="629" ht="15.75" customHeight="1">
      <c r="H629" s="18" t="str">
        <f t="shared" si="23"/>
        <v/>
      </c>
    </row>
    <row r="630" ht="15.75" customHeight="1">
      <c r="H630" s="18" t="str">
        <f t="shared" si="23"/>
        <v/>
      </c>
    </row>
    <row r="631" ht="15.75" customHeight="1">
      <c r="H631" s="18" t="str">
        <f t="shared" si="23"/>
        <v/>
      </c>
    </row>
    <row r="632" ht="15.75" customHeight="1">
      <c r="H632" s="18" t="str">
        <f t="shared" si="23"/>
        <v/>
      </c>
    </row>
    <row r="633" ht="15.75" customHeight="1">
      <c r="H633" s="18" t="str">
        <f t="shared" si="23"/>
        <v/>
      </c>
    </row>
    <row r="634" ht="15.75" customHeight="1">
      <c r="H634" s="18" t="str">
        <f t="shared" si="23"/>
        <v/>
      </c>
    </row>
    <row r="635" ht="15.75" customHeight="1">
      <c r="H635" s="18" t="str">
        <f t="shared" si="23"/>
        <v/>
      </c>
    </row>
    <row r="636" ht="15.75" customHeight="1">
      <c r="H636" s="18" t="str">
        <f t="shared" si="23"/>
        <v/>
      </c>
    </row>
    <row r="637" ht="15.75" customHeight="1">
      <c r="H637" s="18" t="str">
        <f t="shared" si="23"/>
        <v/>
      </c>
    </row>
    <row r="638" ht="15.75" customHeight="1">
      <c r="H638" s="18" t="str">
        <f t="shared" si="23"/>
        <v/>
      </c>
    </row>
    <row r="639" ht="15.75" customHeight="1">
      <c r="H639" s="18" t="str">
        <f t="shared" si="23"/>
        <v/>
      </c>
    </row>
    <row r="640" ht="15.75" customHeight="1">
      <c r="H640" s="18" t="str">
        <f t="shared" si="23"/>
        <v/>
      </c>
    </row>
    <row r="641" ht="15.75" customHeight="1">
      <c r="H641" s="18" t="str">
        <f t="shared" si="23"/>
        <v/>
      </c>
    </row>
    <row r="642" ht="15.75" customHeight="1">
      <c r="H642" s="18" t="str">
        <f t="shared" si="23"/>
        <v/>
      </c>
    </row>
    <row r="643" ht="15.75" customHeight="1">
      <c r="H643" s="18" t="str">
        <f t="shared" si="23"/>
        <v/>
      </c>
    </row>
    <row r="644" ht="15.75" customHeight="1">
      <c r="H644" s="18" t="str">
        <f t="shared" si="23"/>
        <v/>
      </c>
    </row>
    <row r="645" ht="15.75" customHeight="1">
      <c r="H645" s="18" t="str">
        <f t="shared" si="23"/>
        <v/>
      </c>
    </row>
    <row r="646" ht="15.75" customHeight="1">
      <c r="H646" s="18" t="str">
        <f t="shared" si="23"/>
        <v/>
      </c>
    </row>
    <row r="647" ht="15.75" customHeight="1">
      <c r="H647" s="18" t="str">
        <f t="shared" si="23"/>
        <v/>
      </c>
    </row>
    <row r="648" ht="15.75" customHeight="1">
      <c r="H648" s="18" t="str">
        <f t="shared" si="23"/>
        <v/>
      </c>
    </row>
    <row r="649" ht="15.75" customHeight="1">
      <c r="H649" s="18" t="str">
        <f t="shared" si="23"/>
        <v/>
      </c>
    </row>
    <row r="650" ht="15.75" customHeight="1">
      <c r="H650" s="18" t="str">
        <f t="shared" si="23"/>
        <v/>
      </c>
    </row>
    <row r="651" ht="15.75" customHeight="1">
      <c r="H651" s="18" t="str">
        <f t="shared" si="23"/>
        <v/>
      </c>
    </row>
    <row r="652" ht="15.75" customHeight="1">
      <c r="H652" s="18" t="str">
        <f t="shared" si="23"/>
        <v/>
      </c>
    </row>
    <row r="653" ht="15.75" customHeight="1">
      <c r="H653" s="18" t="str">
        <f t="shared" si="23"/>
        <v/>
      </c>
    </row>
    <row r="654" ht="15.75" customHeight="1">
      <c r="H654" s="18" t="str">
        <f t="shared" si="23"/>
        <v/>
      </c>
    </row>
    <row r="655" ht="15.75" customHeight="1">
      <c r="H655" s="18" t="str">
        <f t="shared" si="23"/>
        <v/>
      </c>
    </row>
    <row r="656" ht="15.75" customHeight="1">
      <c r="H656" s="18" t="str">
        <f t="shared" si="23"/>
        <v/>
      </c>
    </row>
    <row r="657" ht="15.75" customHeight="1">
      <c r="H657" s="18" t="str">
        <f t="shared" si="23"/>
        <v/>
      </c>
    </row>
    <row r="658" ht="15.75" customHeight="1">
      <c r="H658" s="18" t="str">
        <f t="shared" si="23"/>
        <v/>
      </c>
    </row>
    <row r="659" ht="15.75" customHeight="1">
      <c r="H659" s="18" t="str">
        <f t="shared" si="23"/>
        <v/>
      </c>
    </row>
    <row r="660" ht="15.75" customHeight="1">
      <c r="H660" s="18" t="str">
        <f t="shared" si="23"/>
        <v/>
      </c>
    </row>
    <row r="661" ht="15.75" customHeight="1">
      <c r="H661" s="18" t="str">
        <f t="shared" si="23"/>
        <v/>
      </c>
    </row>
    <row r="662" ht="15.75" customHeight="1">
      <c r="H662" s="18" t="str">
        <f t="shared" si="23"/>
        <v/>
      </c>
    </row>
    <row r="663" ht="15.75" customHeight="1">
      <c r="H663" s="18" t="str">
        <f t="shared" si="23"/>
        <v/>
      </c>
    </row>
    <row r="664" ht="15.75" customHeight="1">
      <c r="H664" s="18" t="str">
        <f t="shared" si="23"/>
        <v/>
      </c>
    </row>
    <row r="665" ht="15.75" customHeight="1">
      <c r="H665" s="18" t="str">
        <f t="shared" si="23"/>
        <v/>
      </c>
    </row>
    <row r="666" ht="15.75" customHeight="1">
      <c r="H666" s="18" t="str">
        <f t="shared" si="23"/>
        <v/>
      </c>
    </row>
    <row r="667" ht="15.75" customHeight="1">
      <c r="H667" s="18" t="str">
        <f t="shared" si="23"/>
        <v/>
      </c>
    </row>
    <row r="668" ht="15.75" customHeight="1">
      <c r="H668" s="18" t="str">
        <f t="shared" si="23"/>
        <v/>
      </c>
    </row>
    <row r="669" ht="15.75" customHeight="1">
      <c r="H669" s="18" t="str">
        <f t="shared" si="23"/>
        <v/>
      </c>
    </row>
    <row r="670" ht="15.75" customHeight="1">
      <c r="H670" s="18" t="str">
        <f t="shared" si="23"/>
        <v/>
      </c>
    </row>
    <row r="671" ht="15.75" customHeight="1">
      <c r="H671" s="18" t="str">
        <f t="shared" si="23"/>
        <v/>
      </c>
    </row>
    <row r="672" ht="15.75" customHeight="1">
      <c r="H672" s="18" t="str">
        <f t="shared" si="23"/>
        <v/>
      </c>
    </row>
    <row r="673" ht="15.75" customHeight="1">
      <c r="H673" s="18" t="str">
        <f t="shared" si="23"/>
        <v/>
      </c>
    </row>
    <row r="674" ht="15.75" customHeight="1">
      <c r="H674" s="18" t="str">
        <f t="shared" si="23"/>
        <v/>
      </c>
    </row>
    <row r="675" ht="15.75" customHeight="1">
      <c r="H675" s="18" t="str">
        <f t="shared" si="23"/>
        <v/>
      </c>
    </row>
    <row r="676" ht="15.75" customHeight="1">
      <c r="H676" s="18" t="str">
        <f t="shared" si="23"/>
        <v/>
      </c>
    </row>
    <row r="677" ht="15.75" customHeight="1">
      <c r="H677" s="18" t="str">
        <f t="shared" si="23"/>
        <v/>
      </c>
    </row>
    <row r="678" ht="15.75" customHeight="1">
      <c r="H678" s="18" t="str">
        <f t="shared" si="23"/>
        <v/>
      </c>
    </row>
    <row r="679" ht="15.75" customHeight="1">
      <c r="H679" s="18" t="str">
        <f t="shared" si="23"/>
        <v/>
      </c>
    </row>
    <row r="680" ht="15.75" customHeight="1">
      <c r="H680" s="18" t="str">
        <f t="shared" si="23"/>
        <v/>
      </c>
    </row>
    <row r="681" ht="15.75" customHeight="1">
      <c r="H681" s="18" t="str">
        <f t="shared" si="23"/>
        <v/>
      </c>
    </row>
    <row r="682" ht="15.75" customHeight="1">
      <c r="H682" s="18" t="str">
        <f t="shared" si="23"/>
        <v/>
      </c>
    </row>
    <row r="683" ht="15.75" customHeight="1">
      <c r="H683" s="18" t="str">
        <f t="shared" si="23"/>
        <v/>
      </c>
    </row>
    <row r="684" ht="15.75" customHeight="1">
      <c r="H684" s="18" t="str">
        <f t="shared" si="23"/>
        <v/>
      </c>
    </row>
    <row r="685" ht="15.75" customHeight="1">
      <c r="H685" s="18" t="str">
        <f t="shared" si="23"/>
        <v/>
      </c>
    </row>
    <row r="686" ht="15.75" customHeight="1">
      <c r="H686" s="18" t="str">
        <f t="shared" si="23"/>
        <v/>
      </c>
    </row>
    <row r="687" ht="15.75" customHeight="1">
      <c r="H687" s="18" t="str">
        <f t="shared" si="23"/>
        <v/>
      </c>
    </row>
    <row r="688" ht="15.75" customHeight="1">
      <c r="H688" s="18" t="str">
        <f t="shared" si="23"/>
        <v/>
      </c>
    </row>
    <row r="689" ht="15.75" customHeight="1">
      <c r="H689" s="18" t="str">
        <f t="shared" si="23"/>
        <v/>
      </c>
    </row>
    <row r="690" ht="15.75" customHeight="1">
      <c r="H690" s="18" t="str">
        <f t="shared" si="23"/>
        <v/>
      </c>
    </row>
    <row r="691" ht="15.75" customHeight="1">
      <c r="H691" s="18" t="str">
        <f t="shared" si="23"/>
        <v/>
      </c>
    </row>
    <row r="692" ht="15.75" customHeight="1">
      <c r="H692" s="18" t="str">
        <f t="shared" si="23"/>
        <v/>
      </c>
    </row>
    <row r="693" ht="15.75" customHeight="1">
      <c r="H693" s="18" t="str">
        <f t="shared" si="23"/>
        <v/>
      </c>
    </row>
    <row r="694" ht="15.75" customHeight="1">
      <c r="H694" s="18" t="str">
        <f t="shared" si="23"/>
        <v/>
      </c>
    </row>
    <row r="695" ht="15.75" customHeight="1">
      <c r="H695" s="18" t="str">
        <f t="shared" si="23"/>
        <v/>
      </c>
    </row>
    <row r="696" ht="15.75" customHeight="1">
      <c r="H696" s="18" t="str">
        <f t="shared" si="23"/>
        <v/>
      </c>
    </row>
    <row r="697" ht="15.75" customHeight="1">
      <c r="H697" s="18" t="str">
        <f t="shared" si="23"/>
        <v/>
      </c>
    </row>
    <row r="698" ht="15.75" customHeight="1">
      <c r="H698" s="18" t="str">
        <f t="shared" si="23"/>
        <v/>
      </c>
    </row>
    <row r="699" ht="15.75" customHeight="1">
      <c r="H699" s="18" t="str">
        <f t="shared" si="23"/>
        <v/>
      </c>
    </row>
    <row r="700" ht="15.75" customHeight="1">
      <c r="H700" s="18" t="str">
        <f t="shared" si="23"/>
        <v/>
      </c>
    </row>
    <row r="701" ht="15.75" customHeight="1">
      <c r="H701" s="18" t="str">
        <f t="shared" si="23"/>
        <v/>
      </c>
    </row>
    <row r="702" ht="15.75" customHeight="1">
      <c r="H702" s="18" t="str">
        <f t="shared" si="23"/>
        <v/>
      </c>
    </row>
    <row r="703" ht="15.75" customHeight="1">
      <c r="H703" s="18" t="str">
        <f t="shared" si="23"/>
        <v/>
      </c>
    </row>
    <row r="704" ht="15.75" customHeight="1">
      <c r="H704" s="18" t="str">
        <f t="shared" si="23"/>
        <v/>
      </c>
    </row>
    <row r="705" ht="15.75" customHeight="1">
      <c r="H705" s="18" t="str">
        <f t="shared" si="23"/>
        <v/>
      </c>
    </row>
    <row r="706" ht="15.75" customHeight="1">
      <c r="H706" s="18" t="str">
        <f t="shared" si="23"/>
        <v/>
      </c>
    </row>
    <row r="707" ht="15.75" customHeight="1">
      <c r="H707" s="18" t="str">
        <f t="shared" si="23"/>
        <v/>
      </c>
    </row>
    <row r="708" ht="15.75" customHeight="1">
      <c r="H708" s="18" t="str">
        <f t="shared" si="23"/>
        <v/>
      </c>
    </row>
    <row r="709" ht="15.75" customHeight="1">
      <c r="H709" s="18" t="str">
        <f t="shared" si="23"/>
        <v/>
      </c>
    </row>
    <row r="710" ht="15.75" customHeight="1">
      <c r="H710" s="18" t="str">
        <f t="shared" si="23"/>
        <v/>
      </c>
    </row>
    <row r="711" ht="15.75" customHeight="1">
      <c r="H711" s="18" t="str">
        <f t="shared" si="23"/>
        <v/>
      </c>
    </row>
    <row r="712" ht="15.75" customHeight="1">
      <c r="H712" s="18" t="str">
        <f t="shared" si="23"/>
        <v/>
      </c>
    </row>
    <row r="713" ht="15.75" customHeight="1">
      <c r="H713" s="18" t="str">
        <f t="shared" si="23"/>
        <v/>
      </c>
    </row>
    <row r="714" ht="15.75" customHeight="1">
      <c r="H714" s="18" t="str">
        <f t="shared" si="23"/>
        <v/>
      </c>
    </row>
    <row r="715" ht="15.75" customHeight="1">
      <c r="H715" s="18" t="str">
        <f t="shared" si="23"/>
        <v/>
      </c>
    </row>
    <row r="716" ht="15.75" customHeight="1">
      <c r="H716" s="18" t="str">
        <f t="shared" si="23"/>
        <v/>
      </c>
    </row>
    <row r="717" ht="15.75" customHeight="1">
      <c r="H717" s="18" t="str">
        <f t="shared" si="23"/>
        <v/>
      </c>
    </row>
    <row r="718" ht="15.75" customHeight="1">
      <c r="H718" s="18" t="str">
        <f t="shared" si="23"/>
        <v/>
      </c>
    </row>
    <row r="719" ht="15.75" customHeight="1">
      <c r="H719" s="18" t="str">
        <f t="shared" si="23"/>
        <v/>
      </c>
    </row>
    <row r="720" ht="15.75" customHeight="1">
      <c r="H720" s="18" t="str">
        <f t="shared" si="23"/>
        <v/>
      </c>
    </row>
    <row r="721" ht="15.75" customHeight="1">
      <c r="H721" s="18" t="str">
        <f t="shared" si="23"/>
        <v/>
      </c>
    </row>
    <row r="722" ht="15.75" customHeight="1">
      <c r="H722" s="18" t="str">
        <f t="shared" si="23"/>
        <v/>
      </c>
    </row>
    <row r="723" ht="15.75" customHeight="1">
      <c r="H723" s="18" t="str">
        <f t="shared" si="23"/>
        <v/>
      </c>
    </row>
    <row r="724" ht="15.75" customHeight="1">
      <c r="H724" s="18" t="str">
        <f t="shared" si="23"/>
        <v/>
      </c>
    </row>
    <row r="725" ht="15.75" customHeight="1">
      <c r="H725" s="18" t="str">
        <f t="shared" si="23"/>
        <v/>
      </c>
    </row>
    <row r="726" ht="15.75" customHeight="1">
      <c r="H726" s="18" t="str">
        <f t="shared" si="23"/>
        <v/>
      </c>
    </row>
    <row r="727" ht="15.75" customHeight="1">
      <c r="H727" s="18" t="str">
        <f t="shared" si="23"/>
        <v/>
      </c>
    </row>
    <row r="728" ht="15.75" customHeight="1">
      <c r="H728" s="18" t="str">
        <f t="shared" si="23"/>
        <v/>
      </c>
    </row>
    <row r="729" ht="15.75" customHeight="1">
      <c r="H729" s="18" t="str">
        <f t="shared" si="23"/>
        <v/>
      </c>
    </row>
    <row r="730" ht="15.75" customHeight="1">
      <c r="H730" s="18" t="str">
        <f t="shared" si="23"/>
        <v/>
      </c>
    </row>
    <row r="731" ht="15.75" customHeight="1">
      <c r="H731" s="18" t="str">
        <f t="shared" si="23"/>
        <v/>
      </c>
    </row>
    <row r="732" ht="15.75" customHeight="1">
      <c r="H732" s="18" t="str">
        <f t="shared" si="23"/>
        <v/>
      </c>
    </row>
    <row r="733" ht="15.75" customHeight="1">
      <c r="H733" s="18" t="str">
        <f t="shared" si="23"/>
        <v/>
      </c>
    </row>
    <row r="734" ht="15.75" customHeight="1">
      <c r="H734" s="18" t="str">
        <f t="shared" si="23"/>
        <v/>
      </c>
    </row>
    <row r="735" ht="15.75" customHeight="1">
      <c r="H735" s="18" t="str">
        <f t="shared" si="23"/>
        <v/>
      </c>
    </row>
    <row r="736" ht="15.75" customHeight="1">
      <c r="H736" s="18" t="str">
        <f t="shared" si="23"/>
        <v/>
      </c>
    </row>
    <row r="737" ht="15.75" customHeight="1">
      <c r="H737" s="18" t="str">
        <f t="shared" si="23"/>
        <v/>
      </c>
    </row>
    <row r="738" ht="15.75" customHeight="1">
      <c r="H738" s="18" t="str">
        <f t="shared" si="23"/>
        <v/>
      </c>
    </row>
    <row r="739" ht="15.75" customHeight="1">
      <c r="H739" s="18" t="str">
        <f t="shared" si="23"/>
        <v/>
      </c>
    </row>
    <row r="740" ht="15.75" customHeight="1">
      <c r="H740" s="18" t="str">
        <f t="shared" si="23"/>
        <v/>
      </c>
    </row>
    <row r="741" ht="15.75" customHeight="1">
      <c r="H741" s="18" t="str">
        <f t="shared" si="23"/>
        <v/>
      </c>
    </row>
    <row r="742" ht="15.75" customHeight="1">
      <c r="H742" s="18" t="str">
        <f t="shared" si="23"/>
        <v/>
      </c>
    </row>
    <row r="743" ht="15.75" customHeight="1">
      <c r="H743" s="18" t="str">
        <f t="shared" si="23"/>
        <v/>
      </c>
    </row>
    <row r="744" ht="15.75" customHeight="1">
      <c r="H744" s="18" t="str">
        <f t="shared" si="23"/>
        <v/>
      </c>
    </row>
    <row r="745" ht="15.75" customHeight="1">
      <c r="H745" s="18" t="str">
        <f t="shared" si="23"/>
        <v/>
      </c>
    </row>
    <row r="746" ht="15.75" customHeight="1">
      <c r="H746" s="18" t="str">
        <f t="shared" si="23"/>
        <v/>
      </c>
    </row>
    <row r="747" ht="15.75" customHeight="1">
      <c r="H747" s="18" t="str">
        <f t="shared" si="23"/>
        <v/>
      </c>
    </row>
    <row r="748" ht="15.75" customHeight="1">
      <c r="H748" s="18" t="str">
        <f t="shared" si="23"/>
        <v/>
      </c>
    </row>
    <row r="749" ht="15.75" customHeight="1">
      <c r="H749" s="18" t="str">
        <f t="shared" si="23"/>
        <v/>
      </c>
    </row>
    <row r="750" ht="15.75" customHeight="1">
      <c r="H750" s="18" t="str">
        <f t="shared" si="23"/>
        <v/>
      </c>
    </row>
    <row r="751" ht="15.75" customHeight="1">
      <c r="H751" s="18" t="str">
        <f t="shared" si="23"/>
        <v/>
      </c>
    </row>
    <row r="752" ht="15.75" customHeight="1">
      <c r="H752" s="18" t="str">
        <f t="shared" si="23"/>
        <v/>
      </c>
    </row>
    <row r="753" ht="15.75" customHeight="1">
      <c r="H753" s="18" t="str">
        <f t="shared" si="23"/>
        <v/>
      </c>
    </row>
    <row r="754" ht="15.75" customHeight="1">
      <c r="H754" s="18" t="str">
        <f t="shared" si="23"/>
        <v/>
      </c>
    </row>
    <row r="755" ht="15.75" customHeight="1">
      <c r="H755" s="18" t="str">
        <f t="shared" si="23"/>
        <v/>
      </c>
    </row>
    <row r="756" ht="15.75" customHeight="1">
      <c r="H756" s="18" t="str">
        <f t="shared" si="23"/>
        <v/>
      </c>
    </row>
    <row r="757" ht="15.75" customHeight="1">
      <c r="H757" s="18" t="str">
        <f t="shared" si="23"/>
        <v/>
      </c>
    </row>
    <row r="758" ht="15.75" customHeight="1">
      <c r="H758" s="18" t="str">
        <f t="shared" si="23"/>
        <v/>
      </c>
    </row>
    <row r="759" ht="15.75" customHeight="1">
      <c r="H759" s="18" t="str">
        <f t="shared" si="23"/>
        <v/>
      </c>
    </row>
    <row r="760" ht="15.75" customHeight="1">
      <c r="H760" s="18" t="str">
        <f t="shared" si="23"/>
        <v/>
      </c>
    </row>
    <row r="761" ht="15.75" customHeight="1">
      <c r="H761" s="18" t="str">
        <f t="shared" si="23"/>
        <v/>
      </c>
    </row>
    <row r="762" ht="15.75" customHeight="1">
      <c r="H762" s="18" t="str">
        <f t="shared" si="23"/>
        <v/>
      </c>
    </row>
    <row r="763" ht="15.75" customHeight="1">
      <c r="H763" s="18" t="str">
        <f t="shared" si="23"/>
        <v/>
      </c>
    </row>
    <row r="764" ht="15.75" customHeight="1">
      <c r="H764" s="18" t="str">
        <f t="shared" si="23"/>
        <v/>
      </c>
    </row>
    <row r="765" ht="15.75" customHeight="1">
      <c r="H765" s="18" t="str">
        <f t="shared" si="23"/>
        <v/>
      </c>
    </row>
    <row r="766" ht="15.75" customHeight="1">
      <c r="H766" s="18" t="str">
        <f t="shared" si="23"/>
        <v/>
      </c>
    </row>
    <row r="767" ht="15.75" customHeight="1">
      <c r="H767" s="18" t="str">
        <f t="shared" si="23"/>
        <v/>
      </c>
    </row>
    <row r="768" ht="15.75" customHeight="1">
      <c r="H768" s="18" t="str">
        <f t="shared" si="23"/>
        <v/>
      </c>
    </row>
    <row r="769" ht="15.75" customHeight="1">
      <c r="H769" s="18" t="str">
        <f t="shared" si="23"/>
        <v/>
      </c>
    </row>
    <row r="770" ht="15.75" customHeight="1">
      <c r="H770" s="18" t="str">
        <f t="shared" si="23"/>
        <v/>
      </c>
    </row>
    <row r="771" ht="15.75" customHeight="1">
      <c r="H771" s="18" t="str">
        <f t="shared" si="23"/>
        <v/>
      </c>
    </row>
    <row r="772" ht="15.75" customHeight="1">
      <c r="H772" s="18" t="str">
        <f t="shared" si="23"/>
        <v/>
      </c>
    </row>
    <row r="773" ht="15.75" customHeight="1">
      <c r="H773" s="18" t="str">
        <f t="shared" si="23"/>
        <v/>
      </c>
    </row>
    <row r="774" ht="15.75" customHeight="1">
      <c r="H774" s="18" t="str">
        <f t="shared" si="23"/>
        <v/>
      </c>
    </row>
    <row r="775" ht="15.75" customHeight="1">
      <c r="H775" s="18" t="str">
        <f t="shared" si="23"/>
        <v/>
      </c>
    </row>
    <row r="776" ht="15.75" customHeight="1">
      <c r="H776" s="18" t="str">
        <f t="shared" si="23"/>
        <v/>
      </c>
    </row>
    <row r="777" ht="15.75" customHeight="1">
      <c r="H777" s="18" t="str">
        <f t="shared" si="23"/>
        <v/>
      </c>
    </row>
    <row r="778" ht="15.75" customHeight="1">
      <c r="H778" s="18" t="str">
        <f t="shared" si="23"/>
        <v/>
      </c>
    </row>
    <row r="779" ht="15.75" customHeight="1">
      <c r="H779" s="18" t="str">
        <f t="shared" si="23"/>
        <v/>
      </c>
    </row>
    <row r="780" ht="15.75" customHeight="1">
      <c r="H780" s="18" t="str">
        <f t="shared" si="23"/>
        <v/>
      </c>
    </row>
    <row r="781" ht="15.75" customHeight="1">
      <c r="H781" s="18" t="str">
        <f t="shared" si="23"/>
        <v/>
      </c>
    </row>
    <row r="782" ht="15.75" customHeight="1">
      <c r="H782" s="18" t="str">
        <f t="shared" si="23"/>
        <v/>
      </c>
    </row>
    <row r="783" ht="15.75" customHeight="1">
      <c r="H783" s="18" t="str">
        <f t="shared" si="23"/>
        <v/>
      </c>
    </row>
    <row r="784" ht="15.75" customHeight="1">
      <c r="H784" s="18" t="str">
        <f t="shared" si="23"/>
        <v/>
      </c>
    </row>
    <row r="785" ht="15.75" customHeight="1">
      <c r="H785" s="18" t="str">
        <f t="shared" si="23"/>
        <v/>
      </c>
    </row>
    <row r="786" ht="15.75" customHeight="1">
      <c r="H786" s="18" t="str">
        <f t="shared" si="23"/>
        <v/>
      </c>
    </row>
    <row r="787" ht="15.75" customHeight="1">
      <c r="H787" s="18" t="str">
        <f t="shared" si="23"/>
        <v/>
      </c>
    </row>
    <row r="788" ht="15.75" customHeight="1">
      <c r="H788" s="18" t="str">
        <f t="shared" si="23"/>
        <v/>
      </c>
    </row>
    <row r="789" ht="15.75" customHeight="1">
      <c r="H789" s="18" t="str">
        <f t="shared" si="23"/>
        <v/>
      </c>
    </row>
    <row r="790" ht="15.75" customHeight="1">
      <c r="H790" s="18" t="str">
        <f t="shared" si="23"/>
        <v/>
      </c>
    </row>
    <row r="791" ht="15.75" customHeight="1">
      <c r="H791" s="18" t="str">
        <f t="shared" si="23"/>
        <v/>
      </c>
    </row>
    <row r="792" ht="15.75" customHeight="1">
      <c r="H792" s="18" t="str">
        <f t="shared" si="23"/>
        <v/>
      </c>
    </row>
    <row r="793" ht="15.75" customHeight="1">
      <c r="H793" s="18" t="str">
        <f t="shared" si="23"/>
        <v/>
      </c>
    </row>
    <row r="794" ht="15.75" customHeight="1">
      <c r="H794" s="18" t="str">
        <f t="shared" si="23"/>
        <v/>
      </c>
    </row>
    <row r="795" ht="15.75" customHeight="1">
      <c r="H795" s="18" t="str">
        <f t="shared" si="23"/>
        <v/>
      </c>
    </row>
    <row r="796" ht="15.75" customHeight="1">
      <c r="H796" s="18" t="str">
        <f t="shared" si="23"/>
        <v/>
      </c>
    </row>
    <row r="797" ht="15.75" customHeight="1">
      <c r="H797" s="18" t="str">
        <f t="shared" si="23"/>
        <v/>
      </c>
    </row>
    <row r="798" ht="15.75" customHeight="1">
      <c r="H798" s="18" t="str">
        <f t="shared" si="23"/>
        <v/>
      </c>
    </row>
    <row r="799" ht="15.75" customHeight="1">
      <c r="H799" s="18" t="str">
        <f t="shared" si="23"/>
        <v/>
      </c>
    </row>
    <row r="800" ht="15.75" customHeight="1">
      <c r="H800" s="18" t="str">
        <f t="shared" si="23"/>
        <v/>
      </c>
    </row>
    <row r="801" ht="15.75" customHeight="1">
      <c r="H801" s="18" t="str">
        <f t="shared" si="23"/>
        <v/>
      </c>
    </row>
    <row r="802" ht="15.75" customHeight="1">
      <c r="H802" s="18" t="str">
        <f t="shared" si="23"/>
        <v/>
      </c>
    </row>
    <row r="803" ht="15.75" customHeight="1">
      <c r="H803" s="18" t="str">
        <f t="shared" si="23"/>
        <v/>
      </c>
    </row>
    <row r="804" ht="15.75" customHeight="1">
      <c r="H804" s="18" t="str">
        <f t="shared" si="23"/>
        <v/>
      </c>
    </row>
    <row r="805" ht="15.75" customHeight="1">
      <c r="H805" s="18" t="str">
        <f t="shared" si="23"/>
        <v/>
      </c>
    </row>
    <row r="806" ht="15.75" customHeight="1">
      <c r="H806" s="18" t="str">
        <f t="shared" si="23"/>
        <v/>
      </c>
    </row>
    <row r="807" ht="15.75" customHeight="1">
      <c r="H807" s="18" t="str">
        <f t="shared" si="23"/>
        <v/>
      </c>
    </row>
    <row r="808" ht="15.75" customHeight="1">
      <c r="H808" s="18" t="str">
        <f t="shared" si="23"/>
        <v/>
      </c>
    </row>
    <row r="809" ht="15.75" customHeight="1">
      <c r="H809" s="18" t="str">
        <f t="shared" si="23"/>
        <v/>
      </c>
    </row>
    <row r="810" ht="15.75" customHeight="1">
      <c r="H810" s="18" t="str">
        <f t="shared" si="23"/>
        <v/>
      </c>
    </row>
    <row r="811" ht="15.75" customHeight="1">
      <c r="H811" s="18" t="str">
        <f t="shared" si="23"/>
        <v/>
      </c>
    </row>
    <row r="812" ht="15.75" customHeight="1">
      <c r="H812" s="18" t="str">
        <f t="shared" si="23"/>
        <v/>
      </c>
    </row>
    <row r="813" ht="15.75" customHeight="1">
      <c r="H813" s="18" t="str">
        <f t="shared" si="23"/>
        <v/>
      </c>
    </row>
    <row r="814" ht="15.75" customHeight="1">
      <c r="H814" s="18" t="str">
        <f t="shared" si="23"/>
        <v/>
      </c>
    </row>
    <row r="815" ht="15.75" customHeight="1">
      <c r="H815" s="18" t="str">
        <f t="shared" si="23"/>
        <v/>
      </c>
    </row>
    <row r="816" ht="15.75" customHeight="1">
      <c r="H816" s="18" t="str">
        <f t="shared" si="23"/>
        <v/>
      </c>
    </row>
    <row r="817" ht="15.75" customHeight="1">
      <c r="H817" s="18" t="str">
        <f t="shared" si="23"/>
        <v/>
      </c>
    </row>
    <row r="818" ht="15.75" customHeight="1">
      <c r="H818" s="18" t="str">
        <f t="shared" si="23"/>
        <v/>
      </c>
    </row>
    <row r="819" ht="15.75" customHeight="1">
      <c r="H819" s="18" t="str">
        <f t="shared" si="23"/>
        <v/>
      </c>
    </row>
    <row r="820" ht="15.75" customHeight="1">
      <c r="H820" s="18" t="str">
        <f t="shared" si="23"/>
        <v/>
      </c>
    </row>
    <row r="821" ht="15.75" customHeight="1">
      <c r="H821" s="18" t="str">
        <f t="shared" si="23"/>
        <v/>
      </c>
    </row>
    <row r="822" ht="15.75" customHeight="1">
      <c r="H822" s="18" t="str">
        <f t="shared" si="23"/>
        <v/>
      </c>
    </row>
    <row r="823" ht="15.75" customHeight="1">
      <c r="H823" s="18" t="str">
        <f t="shared" si="23"/>
        <v/>
      </c>
    </row>
    <row r="824" ht="15.75" customHeight="1">
      <c r="H824" s="18" t="str">
        <f t="shared" si="23"/>
        <v/>
      </c>
    </row>
    <row r="825" ht="15.75" customHeight="1">
      <c r="H825" s="18" t="str">
        <f t="shared" si="23"/>
        <v/>
      </c>
    </row>
    <row r="826" ht="15.75" customHeight="1">
      <c r="H826" s="18" t="str">
        <f t="shared" si="23"/>
        <v/>
      </c>
    </row>
    <row r="827" ht="15.75" customHeight="1">
      <c r="H827" s="18" t="str">
        <f t="shared" si="23"/>
        <v/>
      </c>
    </row>
    <row r="828" ht="15.75" customHeight="1">
      <c r="H828" s="18" t="str">
        <f t="shared" si="23"/>
        <v/>
      </c>
    </row>
    <row r="829" ht="15.75" customHeight="1">
      <c r="H829" s="18" t="str">
        <f t="shared" si="23"/>
        <v/>
      </c>
    </row>
    <row r="830" ht="15.75" customHeight="1">
      <c r="H830" s="18" t="str">
        <f t="shared" si="23"/>
        <v/>
      </c>
    </row>
    <row r="831" ht="15.75" customHeight="1">
      <c r="H831" s="18" t="str">
        <f t="shared" si="23"/>
        <v/>
      </c>
    </row>
    <row r="832" ht="15.75" customHeight="1">
      <c r="H832" s="18" t="str">
        <f t="shared" si="23"/>
        <v/>
      </c>
    </row>
    <row r="833" ht="15.75" customHeight="1">
      <c r="H833" s="18" t="str">
        <f t="shared" si="23"/>
        <v/>
      </c>
    </row>
    <row r="834" ht="15.75" customHeight="1">
      <c r="H834" s="18" t="str">
        <f t="shared" si="23"/>
        <v/>
      </c>
    </row>
    <row r="835" ht="15.75" customHeight="1">
      <c r="H835" s="18" t="str">
        <f t="shared" si="23"/>
        <v/>
      </c>
    </row>
    <row r="836" ht="15.75" customHeight="1">
      <c r="H836" s="18" t="str">
        <f t="shared" si="23"/>
        <v/>
      </c>
    </row>
    <row r="837" ht="15.75" customHeight="1">
      <c r="H837" s="18" t="str">
        <f t="shared" si="23"/>
        <v/>
      </c>
    </row>
    <row r="838" ht="15.75" customHeight="1">
      <c r="H838" s="18" t="str">
        <f t="shared" si="23"/>
        <v/>
      </c>
    </row>
    <row r="839" ht="15.75" customHeight="1">
      <c r="H839" s="18" t="str">
        <f t="shared" si="23"/>
        <v/>
      </c>
    </row>
    <row r="840" ht="15.75" customHeight="1">
      <c r="H840" s="18" t="str">
        <f t="shared" si="23"/>
        <v/>
      </c>
    </row>
    <row r="841" ht="15.75" customHeight="1">
      <c r="H841" s="18" t="str">
        <f t="shared" si="23"/>
        <v/>
      </c>
    </row>
    <row r="842" ht="15.75" customHeight="1">
      <c r="H842" s="18" t="str">
        <f t="shared" si="23"/>
        <v/>
      </c>
    </row>
    <row r="843" ht="15.75" customHeight="1">
      <c r="H843" s="18" t="str">
        <f t="shared" si="23"/>
        <v/>
      </c>
    </row>
    <row r="844" ht="15.75" customHeight="1">
      <c r="H844" s="18" t="str">
        <f t="shared" si="23"/>
        <v/>
      </c>
    </row>
    <row r="845" ht="15.75" customHeight="1">
      <c r="H845" s="18" t="str">
        <f t="shared" si="23"/>
        <v/>
      </c>
    </row>
    <row r="846" ht="15.75" customHeight="1">
      <c r="H846" s="18" t="str">
        <f t="shared" si="23"/>
        <v/>
      </c>
    </row>
    <row r="847" ht="15.75" customHeight="1">
      <c r="H847" s="18" t="str">
        <f t="shared" si="23"/>
        <v/>
      </c>
    </row>
    <row r="848" ht="15.75" customHeight="1">
      <c r="H848" s="18" t="str">
        <f t="shared" si="23"/>
        <v/>
      </c>
    </row>
    <row r="849" ht="15.75" customHeight="1">
      <c r="H849" s="18" t="str">
        <f t="shared" si="23"/>
        <v/>
      </c>
    </row>
    <row r="850" ht="15.75" customHeight="1">
      <c r="H850" s="18" t="str">
        <f t="shared" si="23"/>
        <v/>
      </c>
    </row>
    <row r="851" ht="15.75" customHeight="1">
      <c r="H851" s="18" t="str">
        <f t="shared" si="23"/>
        <v/>
      </c>
    </row>
    <row r="852" ht="15.75" customHeight="1">
      <c r="H852" s="18" t="str">
        <f t="shared" si="23"/>
        <v/>
      </c>
    </row>
    <row r="853" ht="15.75" customHeight="1">
      <c r="H853" s="18" t="str">
        <f t="shared" si="23"/>
        <v/>
      </c>
    </row>
    <row r="854" ht="15.75" customHeight="1">
      <c r="H854" s="18" t="str">
        <f t="shared" si="23"/>
        <v/>
      </c>
    </row>
    <row r="855" ht="15.75" customHeight="1">
      <c r="H855" s="18" t="str">
        <f t="shared" si="23"/>
        <v/>
      </c>
    </row>
    <row r="856" ht="15.75" customHeight="1">
      <c r="H856" s="18" t="str">
        <f t="shared" si="23"/>
        <v/>
      </c>
    </row>
    <row r="857" ht="15.75" customHeight="1">
      <c r="H857" s="18" t="str">
        <f t="shared" si="23"/>
        <v/>
      </c>
    </row>
    <row r="858" ht="15.75" customHeight="1">
      <c r="H858" s="18" t="str">
        <f t="shared" si="23"/>
        <v/>
      </c>
    </row>
    <row r="859" ht="15.75" customHeight="1">
      <c r="H859" s="18" t="str">
        <f t="shared" si="23"/>
        <v/>
      </c>
    </row>
    <row r="860" ht="15.75" customHeight="1">
      <c r="H860" s="18" t="str">
        <f t="shared" si="23"/>
        <v/>
      </c>
    </row>
    <row r="861" ht="15.75" customHeight="1">
      <c r="H861" s="18" t="str">
        <f t="shared" si="23"/>
        <v/>
      </c>
    </row>
    <row r="862" ht="15.75" customHeight="1">
      <c r="H862" s="18" t="str">
        <f t="shared" si="23"/>
        <v/>
      </c>
    </row>
    <row r="863" ht="15.75" customHeight="1">
      <c r="H863" s="18" t="str">
        <f t="shared" si="23"/>
        <v/>
      </c>
    </row>
    <row r="864" ht="15.75" customHeight="1">
      <c r="H864" s="18" t="str">
        <f t="shared" si="23"/>
        <v/>
      </c>
    </row>
    <row r="865" ht="15.75" customHeight="1">
      <c r="H865" s="18" t="str">
        <f t="shared" si="23"/>
        <v/>
      </c>
    </row>
    <row r="866" ht="15.75" customHeight="1">
      <c r="H866" s="18" t="str">
        <f t="shared" si="23"/>
        <v/>
      </c>
    </row>
    <row r="867" ht="15.75" customHeight="1">
      <c r="H867" s="18" t="str">
        <f t="shared" si="23"/>
        <v/>
      </c>
    </row>
    <row r="868" ht="15.75" customHeight="1">
      <c r="H868" s="18" t="str">
        <f t="shared" si="23"/>
        <v/>
      </c>
    </row>
    <row r="869" ht="15.75" customHeight="1">
      <c r="H869" s="18" t="str">
        <f t="shared" si="23"/>
        <v/>
      </c>
    </row>
    <row r="870" ht="15.75" customHeight="1">
      <c r="H870" s="18" t="str">
        <f t="shared" si="23"/>
        <v/>
      </c>
    </row>
    <row r="871" ht="15.75" customHeight="1">
      <c r="H871" s="18" t="str">
        <f t="shared" si="23"/>
        <v/>
      </c>
    </row>
    <row r="872" ht="15.75" customHeight="1">
      <c r="H872" s="18" t="str">
        <f t="shared" si="23"/>
        <v/>
      </c>
    </row>
    <row r="873" ht="15.75" customHeight="1">
      <c r="H873" s="18" t="str">
        <f t="shared" si="23"/>
        <v/>
      </c>
    </row>
    <row r="874" ht="15.75" customHeight="1">
      <c r="H874" s="18" t="str">
        <f t="shared" si="23"/>
        <v/>
      </c>
    </row>
    <row r="875" ht="15.75" customHeight="1">
      <c r="H875" s="18" t="str">
        <f t="shared" si="23"/>
        <v/>
      </c>
    </row>
    <row r="876" ht="15.75" customHeight="1">
      <c r="H876" s="18" t="str">
        <f t="shared" si="23"/>
        <v/>
      </c>
    </row>
    <row r="877" ht="15.75" customHeight="1">
      <c r="H877" s="18" t="str">
        <f t="shared" si="23"/>
        <v/>
      </c>
    </row>
    <row r="878" ht="15.75" customHeight="1">
      <c r="H878" s="18" t="str">
        <f t="shared" si="23"/>
        <v/>
      </c>
    </row>
    <row r="879" ht="15.75" customHeight="1">
      <c r="H879" s="18" t="str">
        <f t="shared" si="23"/>
        <v/>
      </c>
    </row>
    <row r="880" ht="15.75" customHeight="1">
      <c r="H880" s="18" t="str">
        <f t="shared" si="23"/>
        <v/>
      </c>
    </row>
    <row r="881" ht="15.75" customHeight="1">
      <c r="H881" s="18" t="str">
        <f t="shared" si="23"/>
        <v/>
      </c>
    </row>
    <row r="882" ht="15.75" customHeight="1">
      <c r="H882" s="18" t="str">
        <f t="shared" si="23"/>
        <v/>
      </c>
    </row>
    <row r="883" ht="15.75" customHeight="1">
      <c r="H883" s="18" t="str">
        <f t="shared" si="23"/>
        <v/>
      </c>
    </row>
    <row r="884" ht="15.75" customHeight="1">
      <c r="H884" s="18" t="str">
        <f t="shared" si="23"/>
        <v/>
      </c>
    </row>
    <row r="885" ht="15.75" customHeight="1">
      <c r="H885" s="18" t="str">
        <f t="shared" si="23"/>
        <v/>
      </c>
    </row>
    <row r="886" ht="15.75" customHeight="1">
      <c r="H886" s="18" t="str">
        <f t="shared" si="23"/>
        <v/>
      </c>
    </row>
    <row r="887" ht="15.75" customHeight="1">
      <c r="H887" s="18" t="str">
        <f t="shared" si="23"/>
        <v/>
      </c>
    </row>
    <row r="888" ht="15.75" customHeight="1">
      <c r="H888" s="18" t="str">
        <f t="shared" si="23"/>
        <v/>
      </c>
    </row>
    <row r="889" ht="15.75" customHeight="1">
      <c r="H889" s="18" t="str">
        <f t="shared" si="23"/>
        <v/>
      </c>
    </row>
    <row r="890" ht="15.75" customHeight="1">
      <c r="H890" s="18" t="str">
        <f t="shared" si="23"/>
        <v/>
      </c>
    </row>
    <row r="891" ht="15.75" customHeight="1">
      <c r="H891" s="18" t="str">
        <f t="shared" si="23"/>
        <v/>
      </c>
    </row>
    <row r="892" ht="15.75" customHeight="1">
      <c r="H892" s="18" t="str">
        <f t="shared" si="23"/>
        <v/>
      </c>
    </row>
    <row r="893" ht="15.75" customHeight="1">
      <c r="H893" s="18" t="str">
        <f t="shared" si="23"/>
        <v/>
      </c>
    </row>
    <row r="894" ht="15.75" customHeight="1">
      <c r="H894" s="18" t="str">
        <f t="shared" si="23"/>
        <v/>
      </c>
    </row>
    <row r="895" ht="15.75" customHeight="1">
      <c r="H895" s="18" t="str">
        <f t="shared" si="23"/>
        <v/>
      </c>
    </row>
    <row r="896" ht="15.75" customHeight="1">
      <c r="H896" s="18" t="str">
        <f t="shared" si="23"/>
        <v/>
      </c>
    </row>
    <row r="897" ht="15.75" customHeight="1">
      <c r="H897" s="18" t="str">
        <f t="shared" si="23"/>
        <v/>
      </c>
    </row>
    <row r="898" ht="15.75" customHeight="1">
      <c r="H898" s="18" t="str">
        <f t="shared" si="23"/>
        <v/>
      </c>
    </row>
    <row r="899" ht="15.75" customHeight="1">
      <c r="H899" s="18" t="str">
        <f t="shared" si="23"/>
        <v/>
      </c>
    </row>
    <row r="900" ht="15.75" customHeight="1">
      <c r="H900" s="18" t="str">
        <f t="shared" si="23"/>
        <v/>
      </c>
    </row>
    <row r="901" ht="15.75" customHeight="1">
      <c r="H901" s="18" t="str">
        <f t="shared" si="23"/>
        <v/>
      </c>
    </row>
    <row r="902" ht="15.75" customHeight="1">
      <c r="H902" s="18" t="str">
        <f t="shared" si="23"/>
        <v/>
      </c>
    </row>
    <row r="903" ht="15.75" customHeight="1">
      <c r="H903" s="18" t="str">
        <f t="shared" si="23"/>
        <v/>
      </c>
    </row>
    <row r="904" ht="15.75" customHeight="1">
      <c r="H904" s="18" t="str">
        <f t="shared" si="23"/>
        <v/>
      </c>
    </row>
    <row r="905" ht="15.75" customHeight="1">
      <c r="H905" s="18" t="str">
        <f t="shared" si="23"/>
        <v/>
      </c>
    </row>
    <row r="906" ht="15.75" customHeight="1">
      <c r="H906" s="18" t="str">
        <f t="shared" si="23"/>
        <v/>
      </c>
    </row>
    <row r="907" ht="15.75" customHeight="1">
      <c r="H907" s="18" t="str">
        <f t="shared" si="23"/>
        <v/>
      </c>
    </row>
    <row r="908" ht="15.75" customHeight="1">
      <c r="H908" s="18" t="str">
        <f t="shared" si="23"/>
        <v/>
      </c>
    </row>
    <row r="909" ht="15.75" customHeight="1">
      <c r="H909" s="18" t="str">
        <f t="shared" si="23"/>
        <v/>
      </c>
    </row>
    <row r="910" ht="15.75" customHeight="1">
      <c r="H910" s="18" t="str">
        <f t="shared" si="23"/>
        <v/>
      </c>
    </row>
    <row r="911" ht="15.75" customHeight="1">
      <c r="H911" s="18" t="str">
        <f t="shared" si="23"/>
        <v/>
      </c>
    </row>
    <row r="912" ht="15.75" customHeight="1">
      <c r="H912" s="18" t="str">
        <f t="shared" si="23"/>
        <v/>
      </c>
    </row>
    <row r="913" ht="15.75" customHeight="1">
      <c r="H913" s="18" t="str">
        <f t="shared" si="23"/>
        <v/>
      </c>
    </row>
    <row r="914" ht="15.75" customHeight="1">
      <c r="H914" s="18" t="str">
        <f t="shared" si="23"/>
        <v/>
      </c>
    </row>
    <row r="915" ht="15.75" customHeight="1">
      <c r="H915" s="18" t="str">
        <f t="shared" si="23"/>
        <v/>
      </c>
    </row>
    <row r="916" ht="15.75" customHeight="1">
      <c r="H916" s="18" t="str">
        <f t="shared" si="23"/>
        <v/>
      </c>
    </row>
    <row r="917" ht="15.75" customHeight="1">
      <c r="H917" s="18" t="str">
        <f t="shared" si="23"/>
        <v/>
      </c>
    </row>
    <row r="918" ht="15.75" customHeight="1">
      <c r="H918" s="18" t="str">
        <f t="shared" si="23"/>
        <v/>
      </c>
    </row>
    <row r="919" ht="15.75" customHeight="1">
      <c r="H919" s="18" t="str">
        <f t="shared" si="23"/>
        <v/>
      </c>
    </row>
    <row r="920" ht="15.75" customHeight="1">
      <c r="H920" s="18" t="str">
        <f t="shared" si="23"/>
        <v/>
      </c>
    </row>
    <row r="921" ht="15.75" customHeight="1">
      <c r="H921" s="18" t="str">
        <f t="shared" si="23"/>
        <v/>
      </c>
    </row>
    <row r="922" ht="15.75" customHeight="1">
      <c r="H922" s="18" t="str">
        <f t="shared" si="23"/>
        <v/>
      </c>
    </row>
    <row r="923" ht="15.75" customHeight="1">
      <c r="H923" s="18" t="str">
        <f t="shared" si="23"/>
        <v/>
      </c>
    </row>
    <row r="924" ht="15.75" customHeight="1">
      <c r="H924" s="18" t="str">
        <f t="shared" si="23"/>
        <v/>
      </c>
    </row>
    <row r="925" ht="15.75" customHeight="1">
      <c r="H925" s="18" t="str">
        <f t="shared" si="23"/>
        <v/>
      </c>
    </row>
    <row r="926" ht="15.75" customHeight="1">
      <c r="H926" s="18" t="str">
        <f t="shared" si="23"/>
        <v/>
      </c>
    </row>
    <row r="927" ht="15.75" customHeight="1">
      <c r="H927" s="18" t="str">
        <f t="shared" si="23"/>
        <v/>
      </c>
    </row>
    <row r="928" ht="15.75" customHeight="1">
      <c r="H928" s="18" t="str">
        <f t="shared" si="23"/>
        <v/>
      </c>
    </row>
    <row r="929" ht="15.75" customHeight="1">
      <c r="H929" s="18" t="str">
        <f t="shared" si="23"/>
        <v/>
      </c>
    </row>
    <row r="930" ht="15.75" customHeight="1">
      <c r="H930" s="18" t="str">
        <f t="shared" si="23"/>
        <v/>
      </c>
    </row>
    <row r="931" ht="15.75" customHeight="1">
      <c r="H931" s="18" t="str">
        <f t="shared" si="23"/>
        <v/>
      </c>
    </row>
    <row r="932" ht="15.75" customHeight="1">
      <c r="H932" s="18" t="str">
        <f t="shared" si="23"/>
        <v/>
      </c>
    </row>
    <row r="933" ht="15.75" customHeight="1">
      <c r="H933" s="18" t="str">
        <f t="shared" si="23"/>
        <v/>
      </c>
    </row>
    <row r="934" ht="15.75" customHeight="1">
      <c r="H934" s="18" t="str">
        <f t="shared" si="23"/>
        <v/>
      </c>
    </row>
    <row r="935" ht="15.75" customHeight="1">
      <c r="H935" s="18" t="str">
        <f t="shared" si="23"/>
        <v/>
      </c>
    </row>
    <row r="936" ht="15.75" customHeight="1">
      <c r="H936" s="18" t="str">
        <f t="shared" si="23"/>
        <v/>
      </c>
    </row>
    <row r="937" ht="15.75" customHeight="1">
      <c r="H937" s="18" t="str">
        <f t="shared" si="23"/>
        <v/>
      </c>
    </row>
    <row r="938" ht="15.75" customHeight="1">
      <c r="H938" s="18" t="str">
        <f t="shared" si="23"/>
        <v/>
      </c>
    </row>
    <row r="939" ht="15.75" customHeight="1">
      <c r="H939" s="18" t="str">
        <f t="shared" si="23"/>
        <v/>
      </c>
    </row>
    <row r="940" ht="15.75" customHeight="1">
      <c r="H940" s="18" t="str">
        <f t="shared" si="23"/>
        <v/>
      </c>
    </row>
    <row r="941" ht="15.75" customHeight="1">
      <c r="H941" s="18" t="str">
        <f t="shared" si="23"/>
        <v/>
      </c>
    </row>
    <row r="942" ht="15.75" customHeight="1">
      <c r="H942" s="18" t="str">
        <f t="shared" si="23"/>
        <v/>
      </c>
    </row>
    <row r="943" ht="15.75" customHeight="1">
      <c r="H943" s="18" t="str">
        <f t="shared" si="23"/>
        <v/>
      </c>
    </row>
    <row r="944" ht="15.75" customHeight="1">
      <c r="H944" s="18" t="str">
        <f t="shared" si="23"/>
        <v/>
      </c>
    </row>
    <row r="945" ht="15.75" customHeight="1">
      <c r="H945" s="18" t="str">
        <f t="shared" si="23"/>
        <v/>
      </c>
    </row>
    <row r="946" ht="15.75" customHeight="1">
      <c r="H946" s="18" t="str">
        <f t="shared" si="23"/>
        <v/>
      </c>
    </row>
    <row r="947" ht="15.75" customHeight="1">
      <c r="H947" s="18" t="str">
        <f t="shared" si="23"/>
        <v/>
      </c>
    </row>
    <row r="948" ht="15.75" customHeight="1">
      <c r="H948" s="18" t="str">
        <f t="shared" si="23"/>
        <v/>
      </c>
    </row>
    <row r="949" ht="15.75" customHeight="1">
      <c r="H949" s="18" t="str">
        <f t="shared" si="23"/>
        <v/>
      </c>
    </row>
    <row r="950" ht="15.75" customHeight="1">
      <c r="H950" s="18" t="str">
        <f t="shared" si="23"/>
        <v/>
      </c>
    </row>
    <row r="951" ht="15.75" customHeight="1">
      <c r="H951" s="18" t="str">
        <f t="shared" si="23"/>
        <v/>
      </c>
    </row>
    <row r="952" ht="15.75" customHeight="1">
      <c r="H952" s="18" t="str">
        <f t="shared" si="23"/>
        <v/>
      </c>
    </row>
    <row r="953" ht="15.75" customHeight="1">
      <c r="H953" s="18" t="str">
        <f t="shared" si="23"/>
        <v/>
      </c>
    </row>
    <row r="954" ht="15.75" customHeight="1">
      <c r="H954" s="18" t="str">
        <f t="shared" si="23"/>
        <v/>
      </c>
    </row>
    <row r="955" ht="15.75" customHeight="1">
      <c r="H955" s="18" t="str">
        <f t="shared" si="23"/>
        <v/>
      </c>
    </row>
    <row r="956" ht="15.75" customHeight="1">
      <c r="H956" s="18" t="str">
        <f t="shared" si="23"/>
        <v/>
      </c>
    </row>
    <row r="957" ht="15.75" customHeight="1">
      <c r="H957" s="18" t="str">
        <f t="shared" si="23"/>
        <v/>
      </c>
    </row>
    <row r="958" ht="15.75" customHeight="1">
      <c r="H958" s="18" t="str">
        <f t="shared" si="23"/>
        <v/>
      </c>
    </row>
    <row r="959" ht="15.75" customHeight="1">
      <c r="H959" s="18" t="str">
        <f t="shared" si="23"/>
        <v/>
      </c>
    </row>
    <row r="960" ht="15.75" customHeight="1">
      <c r="H960" s="18" t="str">
        <f t="shared" si="23"/>
        <v/>
      </c>
    </row>
    <row r="961" ht="15.75" customHeight="1">
      <c r="H961" s="18" t="str">
        <f t="shared" si="23"/>
        <v/>
      </c>
    </row>
    <row r="962" ht="15.75" customHeight="1">
      <c r="H962" s="18" t="str">
        <f t="shared" si="23"/>
        <v/>
      </c>
    </row>
    <row r="963" ht="15.75" customHeight="1">
      <c r="H963" s="18" t="str">
        <f t="shared" si="23"/>
        <v/>
      </c>
    </row>
    <row r="964" ht="15.75" customHeight="1">
      <c r="H964" s="18" t="str">
        <f t="shared" si="23"/>
        <v/>
      </c>
    </row>
    <row r="965" ht="15.75" customHeight="1">
      <c r="H965" s="18" t="str">
        <f t="shared" si="23"/>
        <v/>
      </c>
    </row>
    <row r="966" ht="15.75" customHeight="1">
      <c r="H966" s="18" t="str">
        <f t="shared" si="23"/>
        <v/>
      </c>
    </row>
    <row r="967" ht="15.75" customHeight="1">
      <c r="H967" s="18" t="str">
        <f t="shared" si="23"/>
        <v/>
      </c>
    </row>
    <row r="968" ht="15.75" customHeight="1">
      <c r="H968" s="18" t="str">
        <f t="shared" si="23"/>
        <v/>
      </c>
    </row>
    <row r="969" ht="15.75" customHeight="1">
      <c r="H969" s="18" t="str">
        <f t="shared" si="23"/>
        <v/>
      </c>
    </row>
    <row r="970" ht="15.75" customHeight="1">
      <c r="H970" s="18" t="str">
        <f t="shared" si="23"/>
        <v/>
      </c>
    </row>
    <row r="971" ht="15.75" customHeight="1">
      <c r="H971" s="18" t="str">
        <f t="shared" si="23"/>
        <v/>
      </c>
    </row>
    <row r="972" ht="15.75" customHeight="1">
      <c r="H972" s="18" t="str">
        <f t="shared" si="23"/>
        <v/>
      </c>
    </row>
    <row r="973" ht="15.75" customHeight="1">
      <c r="H973" s="18" t="str">
        <f t="shared" si="23"/>
        <v/>
      </c>
    </row>
    <row r="974" ht="15.75" customHeight="1">
      <c r="H974" s="18" t="str">
        <f t="shared" si="23"/>
        <v/>
      </c>
    </row>
    <row r="975" ht="15.75" customHeight="1">
      <c r="H975" s="18" t="str">
        <f t="shared" si="23"/>
        <v/>
      </c>
    </row>
    <row r="976" ht="15.75" customHeight="1">
      <c r="H976" s="18" t="str">
        <f t="shared" si="23"/>
        <v/>
      </c>
    </row>
    <row r="977" ht="15.75" customHeight="1">
      <c r="H977" s="18" t="str">
        <f t="shared" si="23"/>
        <v/>
      </c>
    </row>
    <row r="978" ht="15.75" customHeight="1">
      <c r="H978" s="18" t="str">
        <f t="shared" si="23"/>
        <v/>
      </c>
    </row>
    <row r="979" ht="15.75" customHeight="1">
      <c r="H979" s="18" t="str">
        <f t="shared" si="23"/>
        <v/>
      </c>
    </row>
    <row r="980" ht="15.75" customHeight="1">
      <c r="H980" s="18" t="str">
        <f t="shared" si="23"/>
        <v/>
      </c>
    </row>
    <row r="981" ht="15.75" customHeight="1">
      <c r="H981" s="18" t="str">
        <f t="shared" si="23"/>
        <v/>
      </c>
    </row>
    <row r="982" ht="15.75" customHeight="1">
      <c r="H982" s="18" t="str">
        <f t="shared" si="23"/>
        <v/>
      </c>
    </row>
    <row r="983" ht="15.75" customHeight="1">
      <c r="H983" s="18" t="str">
        <f t="shared" si="23"/>
        <v/>
      </c>
    </row>
    <row r="984" ht="15.75" customHeight="1">
      <c r="H984" s="18" t="str">
        <f t="shared" si="23"/>
        <v/>
      </c>
    </row>
    <row r="985" ht="15.75" customHeight="1">
      <c r="H985" s="18" t="str">
        <f t="shared" si="23"/>
        <v/>
      </c>
    </row>
    <row r="986" ht="15.75" customHeight="1">
      <c r="H986" s="18" t="str">
        <f t="shared" si="23"/>
        <v/>
      </c>
    </row>
    <row r="987" ht="15.75" customHeight="1">
      <c r="H987" s="18" t="str">
        <f t="shared" si="23"/>
        <v/>
      </c>
    </row>
    <row r="988" ht="15.75" customHeight="1">
      <c r="H988" s="18" t="str">
        <f t="shared" si="23"/>
        <v/>
      </c>
    </row>
    <row r="989" ht="15.75" customHeight="1">
      <c r="H989" s="18" t="str">
        <f t="shared" si="23"/>
        <v/>
      </c>
    </row>
    <row r="990" ht="15.75" customHeight="1">
      <c r="H990" s="18" t="str">
        <f t="shared" si="23"/>
        <v/>
      </c>
    </row>
    <row r="991" ht="15.75" customHeight="1">
      <c r="H991" s="18" t="str">
        <f t="shared" si="23"/>
        <v/>
      </c>
    </row>
    <row r="992" ht="15.75" customHeight="1">
      <c r="H992" s="18" t="str">
        <f t="shared" si="23"/>
        <v/>
      </c>
    </row>
    <row r="993" ht="15.75" customHeight="1">
      <c r="H993" s="18" t="str">
        <f t="shared" si="23"/>
        <v/>
      </c>
    </row>
    <row r="994" ht="15.75" customHeight="1">
      <c r="H994" s="18" t="str">
        <f t="shared" si="23"/>
        <v/>
      </c>
    </row>
    <row r="995" ht="15.75" customHeight="1">
      <c r="H995" s="18" t="str">
        <f t="shared" si="23"/>
        <v/>
      </c>
    </row>
    <row r="996" ht="15.75" customHeight="1">
      <c r="H996" s="18" t="str">
        <f t="shared" si="23"/>
        <v/>
      </c>
    </row>
    <row r="997" ht="15.75" customHeight="1">
      <c r="H997" s="18" t="str">
        <f t="shared" si="23"/>
        <v/>
      </c>
    </row>
    <row r="998" ht="15.75" customHeight="1">
      <c r="H998" s="18" t="str">
        <f t="shared" si="23"/>
        <v/>
      </c>
    </row>
    <row r="999" ht="15.75" customHeight="1">
      <c r="H999" s="18" t="str">
        <f t="shared" si="23"/>
        <v/>
      </c>
    </row>
  </sheetData>
  <dataValidations>
    <dataValidation type="custom" allowBlank="1" showDropDown="1" sqref="B4:H75">
      <formula1>AND(ISNUMBER(B4),(NOT(OR(NOT(ISERROR(DATEVALUE(B4))), AND(ISNUMBER(B4), LEFT(CELL("format", B4))="D")))))</formula1>
    </dataValidation>
  </dataValidations>
  <hyperlinks>
    <hyperlink r:id="rId1" location="Insumos!A1" ref="A1"/>
    <hyperlink r:id="rId2" location="Preparos!A1" ref="B1"/>
    <hyperlink r:id="rId3" location="Lanches!A1" ref="C1"/>
    <hyperlink r:id="rId4" location="Porções!A1" ref="D1"/>
    <hyperlink r:id="rId5" location="Bebidas!A1" ref="E1"/>
    <hyperlink r:id="rId6" location="Sobremesas!A1" ref="F1"/>
    <hyperlink r:id="rId7" location="Combos!A1" ref="G1"/>
    <hyperlink r:id="rId8" location="COMPARAÇÃO DE PREÇOS!A1" ref="H1"/>
  </hyperlinks>
  <printOptions/>
  <pageMargins bottom="0.787401575" footer="0.0" header="0.0" left="0.511811024" right="0.511811024" top="0.787401575"/>
  <pageSetup orientation="landscape"/>
  <drawing r:id="rId9"/>
  <tableParts count="2"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28.86"/>
    <col customWidth="1" min="4" max="4" width="28.14"/>
    <col customWidth="1" min="5" max="5" width="21.57"/>
    <col customWidth="1" min="6" max="6" width="8.71"/>
    <col customWidth="1" min="7" max="7" width="28.86"/>
    <col customWidth="1" min="8" max="8" width="8.71"/>
    <col customWidth="1" min="9" max="9" width="10.57"/>
    <col customWidth="1" min="10" max="26" width="8.71"/>
  </cols>
  <sheetData>
    <row r="1">
      <c r="A1" s="18" t="s">
        <v>226</v>
      </c>
      <c r="B1" s="18" t="s">
        <v>227</v>
      </c>
      <c r="C1" s="18" t="s">
        <v>228</v>
      </c>
      <c r="D1" s="18" t="s">
        <v>229</v>
      </c>
      <c r="E1" s="18" t="s">
        <v>230</v>
      </c>
      <c r="G1" s="18" t="s">
        <v>231</v>
      </c>
      <c r="I1" s="18" t="s">
        <v>232</v>
      </c>
    </row>
    <row r="2">
      <c r="A2" s="18" t="s">
        <v>18</v>
      </c>
      <c r="B2" s="18" t="s">
        <v>13</v>
      </c>
      <c r="C2" s="18" t="s">
        <v>57</v>
      </c>
      <c r="D2" s="18" t="s">
        <v>67</v>
      </c>
      <c r="E2" s="18" t="s">
        <v>73</v>
      </c>
      <c r="G2" s="18" t="s">
        <v>15</v>
      </c>
      <c r="I2" s="18" t="s">
        <v>10</v>
      </c>
    </row>
    <row r="3">
      <c r="A3" s="18" t="s">
        <v>28</v>
      </c>
      <c r="B3" s="18" t="s">
        <v>23</v>
      </c>
      <c r="C3" s="18" t="s">
        <v>58</v>
      </c>
      <c r="D3" s="18" t="s">
        <v>68</v>
      </c>
      <c r="E3" s="18" t="s">
        <v>13</v>
      </c>
      <c r="G3" s="18" t="s">
        <v>35</v>
      </c>
      <c r="I3" s="18" t="s">
        <v>12</v>
      </c>
    </row>
    <row r="4">
      <c r="A4" s="18" t="s">
        <v>33</v>
      </c>
      <c r="B4" s="18" t="s">
        <v>35</v>
      </c>
      <c r="C4" s="18" t="s">
        <v>59</v>
      </c>
      <c r="D4" s="18" t="s">
        <v>69</v>
      </c>
      <c r="E4" s="18" t="s">
        <v>18</v>
      </c>
      <c r="G4" s="18" t="s">
        <v>23</v>
      </c>
      <c r="I4" s="18" t="s">
        <v>21</v>
      </c>
    </row>
    <row r="5">
      <c r="A5" s="18" t="s">
        <v>34</v>
      </c>
      <c r="B5" s="18" t="s">
        <v>14</v>
      </c>
      <c r="C5" s="18" t="s">
        <v>22</v>
      </c>
      <c r="D5" s="18" t="s">
        <v>70</v>
      </c>
      <c r="E5" s="18" t="s">
        <v>58</v>
      </c>
      <c r="G5" s="18" t="s">
        <v>13</v>
      </c>
      <c r="I5" s="18" t="s">
        <v>25</v>
      </c>
    </row>
    <row r="6">
      <c r="A6" s="18" t="s">
        <v>37</v>
      </c>
      <c r="B6" s="18" t="s">
        <v>16</v>
      </c>
      <c r="C6" s="18" t="s">
        <v>27</v>
      </c>
      <c r="D6" s="18" t="s">
        <v>26</v>
      </c>
      <c r="E6" s="18" t="s">
        <v>74</v>
      </c>
      <c r="G6" s="18" t="s">
        <v>41</v>
      </c>
      <c r="I6" s="18" t="s">
        <v>72</v>
      </c>
    </row>
    <row r="7">
      <c r="A7" s="18" t="s">
        <v>15</v>
      </c>
      <c r="B7" s="18" t="s">
        <v>17</v>
      </c>
      <c r="C7" s="18" t="s">
        <v>54</v>
      </c>
      <c r="D7" s="18" t="s">
        <v>53</v>
      </c>
      <c r="E7" s="18" t="s">
        <v>11</v>
      </c>
      <c r="G7" s="18" t="s">
        <v>42</v>
      </c>
      <c r="I7" s="15" t="s">
        <v>83</v>
      </c>
    </row>
    <row r="8">
      <c r="A8" s="18" t="s">
        <v>19</v>
      </c>
      <c r="B8" s="18" t="s">
        <v>24</v>
      </c>
      <c r="C8" s="18" t="s">
        <v>55</v>
      </c>
      <c r="D8" s="18" t="s">
        <v>71</v>
      </c>
      <c r="E8" s="18" t="s">
        <v>13</v>
      </c>
      <c r="G8" s="18" t="s">
        <v>37</v>
      </c>
    </row>
    <row r="9">
      <c r="A9" s="18" t="s">
        <v>56</v>
      </c>
      <c r="B9" s="18" t="s">
        <v>38</v>
      </c>
      <c r="C9" s="18" t="s">
        <v>60</v>
      </c>
      <c r="E9" s="18" t="s">
        <v>45</v>
      </c>
      <c r="G9" s="18" t="s">
        <v>69</v>
      </c>
    </row>
    <row r="10">
      <c r="A10" s="18" t="s">
        <v>29</v>
      </c>
      <c r="B10" s="18" t="s">
        <v>46</v>
      </c>
      <c r="C10" s="18" t="s">
        <v>61</v>
      </c>
      <c r="E10" s="18" t="s">
        <v>75</v>
      </c>
      <c r="G10" s="18" t="s">
        <v>71</v>
      </c>
    </row>
    <row r="11">
      <c r="A11" s="18" t="s">
        <v>32</v>
      </c>
      <c r="B11" s="18" t="s">
        <v>41</v>
      </c>
      <c r="C11" s="18" t="s">
        <v>44</v>
      </c>
      <c r="E11" s="18" t="s">
        <v>32</v>
      </c>
      <c r="G11" s="18" t="s">
        <v>66</v>
      </c>
    </row>
    <row r="12">
      <c r="A12" s="18" t="s">
        <v>11</v>
      </c>
      <c r="B12" s="18" t="s">
        <v>42</v>
      </c>
      <c r="C12" s="18" t="s">
        <v>45</v>
      </c>
      <c r="E12" s="18" t="s">
        <v>13</v>
      </c>
      <c r="G12" s="18" t="s">
        <v>64</v>
      </c>
    </row>
    <row r="13">
      <c r="A13" s="18" t="s">
        <v>39</v>
      </c>
      <c r="B13" s="18" t="s">
        <v>20</v>
      </c>
      <c r="C13" s="18" t="s">
        <v>62</v>
      </c>
      <c r="E13" s="18" t="s">
        <v>45</v>
      </c>
      <c r="G13" s="18" t="s">
        <v>68</v>
      </c>
    </row>
    <row r="14">
      <c r="C14" s="18" t="s">
        <v>47</v>
      </c>
      <c r="E14" s="18" t="s">
        <v>76</v>
      </c>
      <c r="G14" s="18" t="s">
        <v>67</v>
      </c>
    </row>
    <row r="15">
      <c r="C15" s="18" t="s">
        <v>48</v>
      </c>
      <c r="E15" s="18" t="s">
        <v>29</v>
      </c>
      <c r="G15" s="18" t="s">
        <v>26</v>
      </c>
    </row>
    <row r="16">
      <c r="C16" s="18" t="s">
        <v>49</v>
      </c>
      <c r="E16" s="18" t="s">
        <v>13</v>
      </c>
      <c r="G16" s="18" t="s">
        <v>32</v>
      </c>
    </row>
    <row r="17">
      <c r="C17" s="18" t="s">
        <v>50</v>
      </c>
      <c r="E17" s="18" t="s">
        <v>45</v>
      </c>
      <c r="G17" s="18" t="s">
        <v>62</v>
      </c>
    </row>
    <row r="18">
      <c r="C18" s="18" t="s">
        <v>30</v>
      </c>
      <c r="E18" s="18" t="s">
        <v>77</v>
      </c>
      <c r="G18" s="18" t="s">
        <v>65</v>
      </c>
    </row>
    <row r="19">
      <c r="C19" s="18" t="s">
        <v>31</v>
      </c>
      <c r="E19" s="18" t="s">
        <v>19</v>
      </c>
      <c r="G19" s="18" t="s">
        <v>52</v>
      </c>
    </row>
    <row r="20">
      <c r="C20" s="18" t="s">
        <v>36</v>
      </c>
      <c r="E20" s="18" t="s">
        <v>13</v>
      </c>
      <c r="G20" s="18" t="s">
        <v>31</v>
      </c>
    </row>
    <row r="21" ht="15.75" customHeight="1">
      <c r="C21" s="18" t="s">
        <v>63</v>
      </c>
      <c r="E21" s="18" t="s">
        <v>45</v>
      </c>
      <c r="G21" s="18" t="s">
        <v>45</v>
      </c>
    </row>
    <row r="22" ht="15.75" customHeight="1">
      <c r="C22" s="18" t="s">
        <v>40</v>
      </c>
      <c r="E22" s="18" t="s">
        <v>78</v>
      </c>
      <c r="G22" s="18" t="s">
        <v>61</v>
      </c>
    </row>
    <row r="23" ht="15.75" customHeight="1">
      <c r="C23" s="18" t="s">
        <v>43</v>
      </c>
      <c r="E23" s="18" t="s">
        <v>34</v>
      </c>
      <c r="G23" s="18" t="s">
        <v>60</v>
      </c>
    </row>
    <row r="24" ht="15.75" customHeight="1">
      <c r="C24" s="18" t="s">
        <v>64</v>
      </c>
      <c r="E24" s="18" t="s">
        <v>13</v>
      </c>
      <c r="G24" s="18" t="s">
        <v>51</v>
      </c>
    </row>
    <row r="25" ht="15.75" customHeight="1">
      <c r="C25" s="18" t="s">
        <v>65</v>
      </c>
      <c r="E25" s="18" t="s">
        <v>45</v>
      </c>
      <c r="G25" s="18" t="s">
        <v>30</v>
      </c>
    </row>
    <row r="26" ht="15.75" customHeight="1">
      <c r="C26" s="18" t="s">
        <v>66</v>
      </c>
      <c r="E26" s="18" t="s">
        <v>79</v>
      </c>
      <c r="G26" s="18" t="s">
        <v>44</v>
      </c>
    </row>
    <row r="27" ht="15.75" customHeight="1">
      <c r="C27" s="18" t="s">
        <v>51</v>
      </c>
      <c r="E27" s="18" t="s">
        <v>39</v>
      </c>
      <c r="G27" s="18" t="s">
        <v>73</v>
      </c>
    </row>
    <row r="28" ht="15.75" customHeight="1">
      <c r="C28" s="18" t="s">
        <v>52</v>
      </c>
      <c r="E28" s="18" t="s">
        <v>13</v>
      </c>
      <c r="G28" s="18" t="s">
        <v>79</v>
      </c>
    </row>
    <row r="29" ht="15.75" customHeight="1">
      <c r="E29" s="18" t="s">
        <v>45</v>
      </c>
      <c r="G29" s="18" t="s">
        <v>82</v>
      </c>
    </row>
    <row r="30" ht="15.75" customHeight="1">
      <c r="E30" s="18" t="s">
        <v>80</v>
      </c>
      <c r="G30" s="18" t="s">
        <v>80</v>
      </c>
    </row>
    <row r="31" ht="15.75" customHeight="1">
      <c r="E31" s="18" t="s">
        <v>37</v>
      </c>
      <c r="G31" s="18" t="s">
        <v>75</v>
      </c>
    </row>
    <row r="32" ht="15.75" customHeight="1">
      <c r="E32" s="18" t="s">
        <v>13</v>
      </c>
      <c r="G32" s="18" t="s">
        <v>78</v>
      </c>
    </row>
    <row r="33" ht="15.75" customHeight="1">
      <c r="E33" s="18" t="s">
        <v>45</v>
      </c>
      <c r="G33" s="18" t="s">
        <v>81</v>
      </c>
    </row>
    <row r="34" ht="15.75" customHeight="1">
      <c r="E34" s="18" t="s">
        <v>81</v>
      </c>
      <c r="G34" s="18" t="s">
        <v>76</v>
      </c>
    </row>
    <row r="35" ht="15.75" customHeight="1">
      <c r="E35" s="18" t="s">
        <v>56</v>
      </c>
      <c r="G35" s="18" t="s">
        <v>77</v>
      </c>
    </row>
    <row r="36" ht="15.75" customHeight="1">
      <c r="E36" s="18" t="s">
        <v>13</v>
      </c>
      <c r="G36" s="18" t="s">
        <v>74</v>
      </c>
    </row>
    <row r="37" ht="15.75" customHeight="1">
      <c r="E37" s="18" t="s">
        <v>45</v>
      </c>
      <c r="G37" s="18" t="s">
        <v>53</v>
      </c>
    </row>
    <row r="38" ht="15.75" customHeight="1">
      <c r="E38" s="18" t="s">
        <v>82</v>
      </c>
      <c r="G38" s="18" t="s">
        <v>70</v>
      </c>
    </row>
    <row r="39" ht="15.75" customHeight="1">
      <c r="E39" s="18" t="s">
        <v>15</v>
      </c>
      <c r="G39" s="18" t="s">
        <v>58</v>
      </c>
    </row>
    <row r="40" ht="15.75" customHeight="1">
      <c r="E40" s="18" t="s">
        <v>13</v>
      </c>
      <c r="G40" s="18" t="s">
        <v>59</v>
      </c>
    </row>
    <row r="41" ht="15.75" customHeight="1">
      <c r="E41" s="18" t="s">
        <v>45</v>
      </c>
      <c r="G41" s="18" t="s">
        <v>34</v>
      </c>
    </row>
    <row r="42" ht="15.75" customHeight="1">
      <c r="G42" s="18" t="s">
        <v>28</v>
      </c>
    </row>
    <row r="43" ht="15.75" customHeight="1">
      <c r="G43" s="18" t="s">
        <v>56</v>
      </c>
    </row>
    <row r="44" ht="15.75" customHeight="1">
      <c r="G44" s="18" t="s">
        <v>36</v>
      </c>
    </row>
    <row r="45" ht="15.75" customHeight="1">
      <c r="G45" s="18" t="s">
        <v>48</v>
      </c>
    </row>
    <row r="46" ht="15.75" customHeight="1">
      <c r="G46" s="18" t="s">
        <v>63</v>
      </c>
    </row>
    <row r="47" ht="15.75" customHeight="1">
      <c r="G47" s="18" t="s">
        <v>49</v>
      </c>
    </row>
    <row r="48" ht="15.75" customHeight="1">
      <c r="G48" s="18" t="s">
        <v>29</v>
      </c>
    </row>
    <row r="49" ht="15.75" customHeight="1">
      <c r="G49" s="18" t="s">
        <v>46</v>
      </c>
    </row>
    <row r="50" ht="15.75" customHeight="1">
      <c r="G50" s="18" t="s">
        <v>38</v>
      </c>
    </row>
    <row r="51" ht="15.75" customHeight="1">
      <c r="G51" s="18" t="s">
        <v>24</v>
      </c>
    </row>
    <row r="52" ht="15.75" customHeight="1">
      <c r="G52" s="18" t="s">
        <v>17</v>
      </c>
    </row>
    <row r="53" ht="15.75" customHeight="1">
      <c r="G53" s="18" t="s">
        <v>16</v>
      </c>
    </row>
    <row r="54" ht="15.75" customHeight="1">
      <c r="G54" s="18" t="s">
        <v>14</v>
      </c>
    </row>
    <row r="55" ht="15.75" customHeight="1">
      <c r="G55" s="18" t="s">
        <v>19</v>
      </c>
    </row>
    <row r="56" ht="15.75" customHeight="1">
      <c r="G56" s="18" t="s">
        <v>47</v>
      </c>
    </row>
    <row r="57" ht="15.75" customHeight="1">
      <c r="G57" s="18" t="s">
        <v>20</v>
      </c>
    </row>
    <row r="58" ht="15.75" customHeight="1">
      <c r="G58" s="18" t="s">
        <v>11</v>
      </c>
    </row>
    <row r="59" ht="15.75" customHeight="1">
      <c r="G59" s="18" t="s">
        <v>18</v>
      </c>
    </row>
    <row r="60" ht="15.75" customHeight="1">
      <c r="G60" s="18" t="s">
        <v>40</v>
      </c>
    </row>
    <row r="61" ht="15.75" customHeight="1">
      <c r="G61" s="18" t="s">
        <v>43</v>
      </c>
    </row>
    <row r="62" ht="15.75" customHeight="1">
      <c r="G62" s="18" t="s">
        <v>50</v>
      </c>
    </row>
    <row r="63" ht="15.75" customHeight="1">
      <c r="G63" s="18" t="s">
        <v>57</v>
      </c>
    </row>
    <row r="64" ht="15.75" customHeight="1">
      <c r="G64" s="18" t="s">
        <v>33</v>
      </c>
    </row>
    <row r="65" ht="15.75" customHeight="1">
      <c r="G65" s="18" t="s">
        <v>54</v>
      </c>
    </row>
    <row r="66" ht="15.75" customHeight="1">
      <c r="G66" s="18" t="s">
        <v>55</v>
      </c>
    </row>
    <row r="67" ht="15.75" customHeight="1">
      <c r="G67" s="18" t="s">
        <v>39</v>
      </c>
    </row>
    <row r="68" ht="15.75" customHeight="1">
      <c r="G68" s="18" t="s">
        <v>27</v>
      </c>
    </row>
    <row r="69" ht="15.75" customHeight="1">
      <c r="G69" s="18" t="s">
        <v>22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